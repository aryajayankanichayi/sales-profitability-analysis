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RYA K J\Documents\Data Analyst Journey\Excel\"/>
    </mc:Choice>
  </mc:AlternateContent>
  <xr:revisionPtr revIDLastSave="0" documentId="13_ncr:1_{EF57CF85-69D4-4E68-BF6B-D22FF21A003E}" xr6:coauthVersionLast="47" xr6:coauthVersionMax="47" xr10:uidLastSave="{00000000-0000-0000-0000-000000000000}"/>
  <bookViews>
    <workbookView xWindow="-108" yWindow="-108" windowWidth="23256" windowHeight="12456" activeTab="2" xr2:uid="{AF476189-9A20-468E-876F-F6A7767DF877}"/>
  </bookViews>
  <sheets>
    <sheet name="Sales_Data" sheetId="1" r:id="rId1"/>
    <sheet name="Pivot_Tables" sheetId="2" r:id="rId2"/>
    <sheet name="Dashboard" sheetId="3" r:id="rId3"/>
  </sheets>
  <definedNames>
    <definedName name="Slicer_Product">#N/A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3" l="1"/>
  <c r="E6" i="3"/>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alcChain>
</file>

<file path=xl/sharedStrings.xml><?xml version="1.0" encoding="utf-8"?>
<sst xmlns="http://schemas.openxmlformats.org/spreadsheetml/2006/main" count="441" uniqueCount="123">
  <si>
    <t>Date</t>
  </si>
  <si>
    <t>Salesperson</t>
  </si>
  <si>
    <t>Region</t>
  </si>
  <si>
    <t>Product</t>
  </si>
  <si>
    <t>Units Sold</t>
  </si>
  <si>
    <t>Unit Price</t>
  </si>
  <si>
    <t>Sales Amount</t>
  </si>
  <si>
    <t>Rahul</t>
  </si>
  <si>
    <t>Priya</t>
  </si>
  <si>
    <t>Meera</t>
  </si>
  <si>
    <t>Arya</t>
  </si>
  <si>
    <t>Akash</t>
  </si>
  <si>
    <t>Neha</t>
  </si>
  <si>
    <t>North</t>
  </si>
  <si>
    <t>Laptop</t>
  </si>
  <si>
    <t>South</t>
  </si>
  <si>
    <t>Mouse</t>
  </si>
  <si>
    <t>East</t>
  </si>
  <si>
    <t>Keyboard</t>
  </si>
  <si>
    <t>West</t>
  </si>
  <si>
    <t>Monitor</t>
  </si>
  <si>
    <t>Printer</t>
  </si>
  <si>
    <t>01-Jan-2026</t>
  </si>
  <si>
    <t>02-Jan-2026</t>
  </si>
  <si>
    <t>03-Jan-2026</t>
  </si>
  <si>
    <t>04-Jan-2026</t>
  </si>
  <si>
    <t>05-Jan-2026</t>
  </si>
  <si>
    <t>06-Jan-2026</t>
  </si>
  <si>
    <t>07-Jan-2026</t>
  </si>
  <si>
    <t>08-Jan-2026</t>
  </si>
  <si>
    <t>SSD</t>
  </si>
  <si>
    <t>09-Jan-2026</t>
  </si>
  <si>
    <t>10-Jan-2026</t>
  </si>
  <si>
    <t>11-Jan-2026</t>
  </si>
  <si>
    <t>Webcam</t>
  </si>
  <si>
    <t>12-Jan-2026</t>
  </si>
  <si>
    <t>13-Jan-2026</t>
  </si>
  <si>
    <t>14-Jan-2026</t>
  </si>
  <si>
    <t>15-Jan-2026</t>
  </si>
  <si>
    <t>16-Jan-2026</t>
  </si>
  <si>
    <t>Headphones</t>
  </si>
  <si>
    <t>17-Jan-2026</t>
  </si>
  <si>
    <t>18-Jan-2026</t>
  </si>
  <si>
    <t>19-Jan-2026</t>
  </si>
  <si>
    <t>20-Jan-2026</t>
  </si>
  <si>
    <t>21-Jan-2026</t>
  </si>
  <si>
    <t>22-Jan-2026</t>
  </si>
  <si>
    <t>23-Jan-2026</t>
  </si>
  <si>
    <t>24-Jan-2026</t>
  </si>
  <si>
    <t>25-Jan-2026</t>
  </si>
  <si>
    <t>26-Jan-2026</t>
  </si>
  <si>
    <t>27-Jan-2026</t>
  </si>
  <si>
    <t>28-Jan-2026</t>
  </si>
  <si>
    <t>29-Jan-2026</t>
  </si>
  <si>
    <t>30-Jan-2026</t>
  </si>
  <si>
    <t>31-Jan-2026</t>
  </si>
  <si>
    <t>01-Feb-2026</t>
  </si>
  <si>
    <t>02-Feb-2026</t>
  </si>
  <si>
    <t>03-Feb-2026</t>
  </si>
  <si>
    <t>04-Feb-2026</t>
  </si>
  <si>
    <t>05-Feb-2026</t>
  </si>
  <si>
    <t>06-Feb-2026</t>
  </si>
  <si>
    <t>07-Feb-2026</t>
  </si>
  <si>
    <t>08-Feb-2026</t>
  </si>
  <si>
    <t>09-Feb-2026</t>
  </si>
  <si>
    <t>10-Feb-2026</t>
  </si>
  <si>
    <t>11-Feb-2026</t>
  </si>
  <si>
    <t>12-Feb-2026</t>
  </si>
  <si>
    <t>13-Feb-2026</t>
  </si>
  <si>
    <t>14-Feb-2026</t>
  </si>
  <si>
    <t>15-Feb-2026</t>
  </si>
  <si>
    <t>16-Feb-2026</t>
  </si>
  <si>
    <t>17-Feb-2026</t>
  </si>
  <si>
    <t>18-Feb-2026</t>
  </si>
  <si>
    <t>19-Feb-2026</t>
  </si>
  <si>
    <t>20-Feb-2026</t>
  </si>
  <si>
    <t>21-Feb-2026</t>
  </si>
  <si>
    <t>22-Feb-2026</t>
  </si>
  <si>
    <t>23-Feb-2026</t>
  </si>
  <si>
    <t>24-Feb-2026</t>
  </si>
  <si>
    <t>25-Feb-2026</t>
  </si>
  <si>
    <t>26-Feb-2026</t>
  </si>
  <si>
    <t>27-Feb-2026</t>
  </si>
  <si>
    <t>28-Feb-2026</t>
  </si>
  <si>
    <t>01-Mar-2026</t>
  </si>
  <si>
    <t>02-Mar-2026</t>
  </si>
  <si>
    <t>03-Mar-2026</t>
  </si>
  <si>
    <t>04-Mar-2026</t>
  </si>
  <si>
    <t>05-Mar-2026</t>
  </si>
  <si>
    <t>06-Mar-2026</t>
  </si>
  <si>
    <t>07-Mar-2026</t>
  </si>
  <si>
    <t>08-Mar-2026</t>
  </si>
  <si>
    <t>09-Mar-2026</t>
  </si>
  <si>
    <t>10-Mar-2026</t>
  </si>
  <si>
    <t>11-Mar-2026</t>
  </si>
  <si>
    <t>12-Mar-2026</t>
  </si>
  <si>
    <t>13-Mar-2026</t>
  </si>
  <si>
    <t>14-Mar-2026</t>
  </si>
  <si>
    <t>15-Mar-2026</t>
  </si>
  <si>
    <t>16-Mar-2026</t>
  </si>
  <si>
    <t>17-Mar-2026</t>
  </si>
  <si>
    <t>18-Mar-2026</t>
  </si>
  <si>
    <t>19-Mar-2026</t>
  </si>
  <si>
    <t>20-Mar-2026</t>
  </si>
  <si>
    <t>21-Mar-2026</t>
  </si>
  <si>
    <t>22-Mar-2026</t>
  </si>
  <si>
    <t>23-Mar-2026</t>
  </si>
  <si>
    <t>24-Mar-2026</t>
  </si>
  <si>
    <t>25-Mar-2026</t>
  </si>
  <si>
    <t>26-Mar-2026</t>
  </si>
  <si>
    <t>27-Mar-2026</t>
  </si>
  <si>
    <t>28-Mar-2026</t>
  </si>
  <si>
    <t>29-Mar-2026</t>
  </si>
  <si>
    <t>30-Mar-2026</t>
  </si>
  <si>
    <t>31-Mar-2026</t>
  </si>
  <si>
    <t>Row Labels</t>
  </si>
  <si>
    <t>Grand Total</t>
  </si>
  <si>
    <t>Sum of Sales Amount</t>
  </si>
  <si>
    <t>Total Sales</t>
  </si>
  <si>
    <t>Total Orders</t>
  </si>
  <si>
    <t>Top Salesperson</t>
  </si>
  <si>
    <t>Top Region</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</si>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</sst>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sz val="16"/>
      <color theme="0"/>
      <name val="Calibri"/>
      <family val="2"/>
      <scheme val="minor"/>
    </font>
    <font>
      <b/>
      <sz val="14"/>
      <color theme="0"/>
      <name val="Calibri"/>
      <family val="2"/>
      <scheme val="minor"/>
    </font>
    <font>
      <b/>
      <sz val="24"/>
      <color theme="8" tint="-0.249977111117893"/>
      <name val="Calibri"/>
      <family val="2"/>
      <scheme val="minor"/>
    </font>
  </fonts>
  <fills count="3">
    <fill>
      <patternFill patternType="none"/>
    </fill>
    <fill>
      <patternFill patternType="gray125"/>
    </fill>
    <fill>
      <patternFill patternType="solid">
        <fgColor theme="8" tint="-0.249977111117893"/>
        <bgColor indexed="64"/>
      </patternFill>
    </fill>
  </fills>
  <borders count="2">
    <border>
      <left/>
      <right/>
      <top/>
      <bottom/>
      <diagonal/>
    </border>
    <border>
      <left style="medium">
        <color indexed="64"/>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2" borderId="1" xfId="0" applyFont="1" applyFill="1" applyBorder="1" applyAlignment="1">
      <alignment horizontal="center"/>
    </xf>
    <xf numFmtId="0" fontId="2" fillId="2" borderId="0" xfId="0" applyFont="1" applyFill="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3" fillId="0" borderId="0" xfId="0" applyFont="1" applyAlignment="1">
      <alignment horizontal="center"/>
    </xf>
    <xf numFmtId="0" fontId="0" fillId="0" borderId="0" xfId="0" applyAlignment="1">
      <alignment horizontal="center"/>
    </xf>
    <xf numFmtId="164" fontId="1" fillId="2" borderId="1" xfId="0" applyNumberFormat="1" applyFont="1" applyFill="1" applyBorder="1" applyAlignment="1">
      <alignment horizontal="center"/>
    </xf>
    <xf numFmtId="164" fontId="1" fillId="2"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Project.xlsx]Pivot_Tables!Region_Sales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Pivot_Tables!$A$2:$A$6</c:f>
              <c:strCache>
                <c:ptCount val="4"/>
                <c:pt idx="0">
                  <c:v>East</c:v>
                </c:pt>
                <c:pt idx="1">
                  <c:v>North</c:v>
                </c:pt>
                <c:pt idx="2">
                  <c:v>South</c:v>
                </c:pt>
                <c:pt idx="3">
                  <c:v>West</c:v>
                </c:pt>
              </c:strCache>
            </c:strRef>
          </c:cat>
          <c:val>
            <c:numRef>
              <c:f>Pivot_Tables!$B$2:$B$6</c:f>
              <c:numCache>
                <c:formatCode>"₹"\ #,##0</c:formatCode>
                <c:ptCount val="4"/>
                <c:pt idx="0">
                  <c:v>1570300</c:v>
                </c:pt>
                <c:pt idx="1">
                  <c:v>3280100</c:v>
                </c:pt>
                <c:pt idx="2">
                  <c:v>3706700</c:v>
                </c:pt>
                <c:pt idx="3">
                  <c:v>1340200</c:v>
                </c:pt>
              </c:numCache>
            </c:numRef>
          </c:val>
          <c:extLst>
            <c:ext xmlns:c16="http://schemas.microsoft.com/office/drawing/2014/chart" uri="{C3380CC4-5D6E-409C-BE32-E72D297353CC}">
              <c16:uniqueId val="{00000000-996F-4154-A95F-A7B7002AEE6C}"/>
            </c:ext>
          </c:extLst>
        </c:ser>
        <c:dLbls>
          <c:showLegendKey val="0"/>
          <c:showVal val="0"/>
          <c:showCatName val="0"/>
          <c:showSerName val="0"/>
          <c:showPercent val="0"/>
          <c:showBubbleSize val="0"/>
        </c:dLbls>
        <c:gapWidth val="219"/>
        <c:overlap val="-27"/>
        <c:axId val="342459007"/>
        <c:axId val="342460447"/>
      </c:barChart>
      <c:catAx>
        <c:axId val="3424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60447"/>
        <c:crosses val="autoZero"/>
        <c:auto val="1"/>
        <c:lblAlgn val="ctr"/>
        <c:lblOffset val="100"/>
        <c:noMultiLvlLbl val="0"/>
      </c:catAx>
      <c:valAx>
        <c:axId val="342460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Project.xlsx]Pivot_Tables!SalesPerson_Sales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Pivot_Tables!$B$10</c:f>
              <c:strCache>
                <c:ptCount val="1"/>
                <c:pt idx="0">
                  <c:v>Total</c:v>
                </c:pt>
              </c:strCache>
            </c:strRef>
          </c:tx>
          <c:spPr>
            <a:solidFill>
              <a:schemeClr val="accent1"/>
            </a:solidFill>
            <a:ln>
              <a:noFill/>
            </a:ln>
            <a:effectLst/>
          </c:spPr>
          <c:invertIfNegative val="0"/>
          <c:cat>
            <c:strRef>
              <c:f>Pivot_Tables!$A$11:$A$17</c:f>
              <c:strCache>
                <c:ptCount val="6"/>
                <c:pt idx="0">
                  <c:v>Akash</c:v>
                </c:pt>
                <c:pt idx="1">
                  <c:v>Arya</c:v>
                </c:pt>
                <c:pt idx="2">
                  <c:v>Meera</c:v>
                </c:pt>
                <c:pt idx="3">
                  <c:v>Neha</c:v>
                </c:pt>
                <c:pt idx="4">
                  <c:v>Priya</c:v>
                </c:pt>
                <c:pt idx="5">
                  <c:v>Rahul</c:v>
                </c:pt>
              </c:strCache>
            </c:strRef>
          </c:cat>
          <c:val>
            <c:numRef>
              <c:f>Pivot_Tables!$B$11:$B$17</c:f>
              <c:numCache>
                <c:formatCode>"₹"\ #,##0</c:formatCode>
                <c:ptCount val="6"/>
                <c:pt idx="0">
                  <c:v>1985900</c:v>
                </c:pt>
                <c:pt idx="1">
                  <c:v>1340200</c:v>
                </c:pt>
                <c:pt idx="2">
                  <c:v>1570300</c:v>
                </c:pt>
                <c:pt idx="3">
                  <c:v>2387100</c:v>
                </c:pt>
                <c:pt idx="4">
                  <c:v>1319600</c:v>
                </c:pt>
                <c:pt idx="5">
                  <c:v>1294200</c:v>
                </c:pt>
              </c:numCache>
            </c:numRef>
          </c:val>
          <c:extLst>
            <c:ext xmlns:c16="http://schemas.microsoft.com/office/drawing/2014/chart" uri="{C3380CC4-5D6E-409C-BE32-E72D297353CC}">
              <c16:uniqueId val="{00000000-52E8-49CE-8AEF-7D78AEA51356}"/>
            </c:ext>
          </c:extLst>
        </c:ser>
        <c:dLbls>
          <c:showLegendKey val="0"/>
          <c:showVal val="0"/>
          <c:showCatName val="0"/>
          <c:showSerName val="0"/>
          <c:showPercent val="0"/>
          <c:showBubbleSize val="0"/>
        </c:dLbls>
        <c:gapWidth val="219"/>
        <c:overlap val="-27"/>
        <c:axId val="414579311"/>
        <c:axId val="414575951"/>
      </c:barChart>
      <c:catAx>
        <c:axId val="41457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75951"/>
        <c:crosses val="autoZero"/>
        <c:auto val="1"/>
        <c:lblAlgn val="ctr"/>
        <c:lblOffset val="100"/>
        <c:noMultiLvlLbl val="0"/>
      </c:catAx>
      <c:valAx>
        <c:axId val="414575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7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Project.xlsx]Pivot_Tables!Product_Sales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Pivot_Tables!$B$21</c:f>
              <c:strCache>
                <c:ptCount val="1"/>
                <c:pt idx="0">
                  <c:v>Total</c:v>
                </c:pt>
              </c:strCache>
            </c:strRef>
          </c:tx>
          <c:spPr>
            <a:solidFill>
              <a:schemeClr val="accent1"/>
            </a:solidFill>
            <a:ln>
              <a:noFill/>
            </a:ln>
            <a:effectLst/>
          </c:spPr>
          <c:invertIfNegative val="0"/>
          <c:cat>
            <c:strRef>
              <c:f>Pivot_Tables!$A$22:$A$30</c:f>
              <c:strCache>
                <c:ptCount val="8"/>
                <c:pt idx="0">
                  <c:v>Headphones</c:v>
                </c:pt>
                <c:pt idx="1">
                  <c:v>Keyboard</c:v>
                </c:pt>
                <c:pt idx="2">
                  <c:v>Laptop</c:v>
                </c:pt>
                <c:pt idx="3">
                  <c:v>Monitor</c:v>
                </c:pt>
                <c:pt idx="4">
                  <c:v>Mouse</c:v>
                </c:pt>
                <c:pt idx="5">
                  <c:v>Printer</c:v>
                </c:pt>
                <c:pt idx="6">
                  <c:v>SSD</c:v>
                </c:pt>
                <c:pt idx="7">
                  <c:v>Webcam</c:v>
                </c:pt>
              </c:strCache>
            </c:strRef>
          </c:cat>
          <c:val>
            <c:numRef>
              <c:f>Pivot_Tables!$B$22:$B$30</c:f>
              <c:numCache>
                <c:formatCode>"₹"\ #,##0</c:formatCode>
                <c:ptCount val="8"/>
                <c:pt idx="0">
                  <c:v>612000</c:v>
                </c:pt>
                <c:pt idx="1">
                  <c:v>349500</c:v>
                </c:pt>
                <c:pt idx="2">
                  <c:v>2160000</c:v>
                </c:pt>
                <c:pt idx="3">
                  <c:v>2400000</c:v>
                </c:pt>
                <c:pt idx="4">
                  <c:v>160800</c:v>
                </c:pt>
                <c:pt idx="5">
                  <c:v>3060000</c:v>
                </c:pt>
                <c:pt idx="6">
                  <c:v>860000</c:v>
                </c:pt>
                <c:pt idx="7">
                  <c:v>295000</c:v>
                </c:pt>
              </c:numCache>
            </c:numRef>
          </c:val>
          <c:extLst>
            <c:ext xmlns:c16="http://schemas.microsoft.com/office/drawing/2014/chart" uri="{C3380CC4-5D6E-409C-BE32-E72D297353CC}">
              <c16:uniqueId val="{00000000-067F-4CCD-A812-7359785648B3}"/>
            </c:ext>
          </c:extLst>
        </c:ser>
        <c:dLbls>
          <c:showLegendKey val="0"/>
          <c:showVal val="0"/>
          <c:showCatName val="0"/>
          <c:showSerName val="0"/>
          <c:showPercent val="0"/>
          <c:showBubbleSize val="0"/>
        </c:dLbls>
        <c:gapWidth val="219"/>
        <c:overlap val="-27"/>
        <c:axId val="328998399"/>
        <c:axId val="329009439"/>
      </c:barChart>
      <c:catAx>
        <c:axId val="32899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09439"/>
        <c:crosses val="autoZero"/>
        <c:auto val="1"/>
        <c:lblAlgn val="ctr"/>
        <c:lblOffset val="100"/>
        <c:noMultiLvlLbl val="0"/>
      </c:catAx>
      <c:valAx>
        <c:axId val="329009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38100</xdr:rowOff>
    </xdr:from>
    <xdr:to>
      <xdr:col>4</xdr:col>
      <xdr:colOff>640080</xdr:colOff>
      <xdr:row>26</xdr:row>
      <xdr:rowOff>30480</xdr:rowOff>
    </xdr:to>
    <xdr:graphicFrame macro="">
      <xdr:nvGraphicFramePr>
        <xdr:cNvPr id="2" name="Sales by Region">
          <a:extLst>
            <a:ext uri="{FF2B5EF4-FFF2-40B4-BE49-F238E27FC236}">
              <a16:creationId xmlns:a16="http://schemas.microsoft.com/office/drawing/2014/main" id="{2301BB90-A4AC-4949-A856-5F21C013D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701040</xdr:colOff>
      <xdr:row>13</xdr:row>
      <xdr:rowOff>99060</xdr:rowOff>
    </xdr:from>
    <xdr:to>
      <xdr:col>10</xdr:col>
      <xdr:colOff>220980</xdr:colOff>
      <xdr:row>26</xdr:row>
      <xdr:rowOff>99060</xdr:rowOff>
    </xdr:to>
    <xdr:graphicFrame macro="">
      <xdr:nvGraphicFramePr>
        <xdr:cNvPr id="3" name="Sales by Salesperson">
          <a:extLst>
            <a:ext uri="{FF2B5EF4-FFF2-40B4-BE49-F238E27FC236}">
              <a16:creationId xmlns:a16="http://schemas.microsoft.com/office/drawing/2014/main" id="{D1ACC8B1-A696-46A0-8540-96B199972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320040</xdr:colOff>
      <xdr:row>13</xdr:row>
      <xdr:rowOff>144780</xdr:rowOff>
    </xdr:from>
    <xdr:to>
      <xdr:col>16</xdr:col>
      <xdr:colOff>320040</xdr:colOff>
      <xdr:row>26</xdr:row>
      <xdr:rowOff>137160</xdr:rowOff>
    </xdr:to>
    <xdr:graphicFrame macro="">
      <xdr:nvGraphicFramePr>
        <xdr:cNvPr id="4" name="Sales by Product">
          <a:extLst>
            <a:ext uri="{FF2B5EF4-FFF2-40B4-BE49-F238E27FC236}">
              <a16:creationId xmlns:a16="http://schemas.microsoft.com/office/drawing/2014/main" id="{6EE1114E-8DE0-4AD6-9F89-D3A8AE7DC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15240</xdr:colOff>
      <xdr:row>0</xdr:row>
      <xdr:rowOff>91441</xdr:rowOff>
    </xdr:from>
    <xdr:to>
      <xdr:col>17</xdr:col>
      <xdr:colOff>15240</xdr:colOff>
      <xdr:row>6</xdr:row>
      <xdr:rowOff>114300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D1D0B5A-E908-43BA-92FD-54D8D21424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45340" y="91441"/>
              <a:ext cx="182880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1120140</xdr:colOff>
      <xdr:row>7</xdr:row>
      <xdr:rowOff>0</xdr:rowOff>
    </xdr:from>
    <xdr:to>
      <xdr:col>13</xdr:col>
      <xdr:colOff>312420</xdr:colOff>
      <xdr:row>13</xdr:row>
      <xdr:rowOff>114301</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55FD404A-AC96-4E13-BDAA-B2EBE794817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944100" y="1623060"/>
              <a:ext cx="1988820" cy="1211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7</xdr:row>
      <xdr:rowOff>0</xdr:rowOff>
    </xdr:from>
    <xdr:to>
      <xdr:col>17</xdr:col>
      <xdr:colOff>68580</xdr:colOff>
      <xdr:row>13</xdr:row>
      <xdr:rowOff>144781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5399F68-7B8F-4985-94AA-43E4285C79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61520" y="1623060"/>
              <a:ext cx="1965960" cy="1242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K J" refreshedDate="46231.504560532405" createdVersion="8" refreshedVersion="8" minRefreshableVersion="3" recordCount="100" xr:uid="{9F3A0A39-DEC9-4116-93BC-01FEDF02C1B3}">
  <cacheSource type="worksheet">
    <worksheetSource name="SalesData"/>
  </cacheSource>
  <cacheFields count="7">
    <cacheField name="Date" numFmtId="0">
      <sharedItems/>
    </cacheField>
    <cacheField name="Salesperson" numFmtId="0">
      <sharedItems count="6">
        <s v="Neha"/>
        <s v="Priya"/>
        <s v="Rahul"/>
        <s v="Arya"/>
        <s v="Akash"/>
        <s v="Meera"/>
      </sharedItems>
    </cacheField>
    <cacheField name="Region" numFmtId="0">
      <sharedItems count="4">
        <s v="South"/>
        <s v="North"/>
        <s v="West"/>
        <s v="East"/>
      </sharedItems>
    </cacheField>
    <cacheField name="Product" numFmtId="0">
      <sharedItems count="8">
        <s v="Mouse"/>
        <s v="Printer"/>
        <s v="Keyboard"/>
        <s v="Laptop"/>
        <s v="Monitor"/>
        <s v="SSD"/>
        <s v="Webcam"/>
        <s v="Headphones"/>
      </sharedItems>
    </cacheField>
    <cacheField name="Units Sold" numFmtId="0">
      <sharedItems containsSemiMixedTypes="0" containsString="0" containsNumber="1" containsInteger="1" minValue="1" maxValue="30"/>
    </cacheField>
    <cacheField name="Unit Price" numFmtId="0">
      <sharedItems containsSemiMixedTypes="0" containsString="0" containsNumber="1" containsInteger="1" minValue="800" maxValue="60000"/>
    </cacheField>
    <cacheField name="Sales Amount" numFmtId="0">
      <sharedItems containsSemiMixedTypes="0" containsString="0" containsNumber="1" containsInteger="1" minValue="1600" maxValue="420000"/>
    </cacheField>
  </cacheFields>
  <extLst>
    <ext xmlns:x14="http://schemas.microsoft.com/office/spreadsheetml/2009/9/main" uri="{725AE2AE-9491-48be-B2B4-4EB974FC3084}">
      <x14:pivotCacheDefinition pivotCacheId="95304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01-Jan-2026"/>
    <x v="0"/>
    <x v="0"/>
    <x v="0"/>
    <n v="2"/>
    <n v="800"/>
    <n v="1600"/>
  </r>
  <r>
    <s v="02-Jan-2026"/>
    <x v="0"/>
    <x v="0"/>
    <x v="1"/>
    <n v="9"/>
    <n v="15000"/>
    <n v="135000"/>
  </r>
  <r>
    <s v="03-Jan-2026"/>
    <x v="1"/>
    <x v="0"/>
    <x v="2"/>
    <n v="25"/>
    <n v="1500"/>
    <n v="37500"/>
  </r>
  <r>
    <s v="04-Jan-2026"/>
    <x v="2"/>
    <x v="1"/>
    <x v="0"/>
    <n v="20"/>
    <n v="800"/>
    <n v="16000"/>
  </r>
  <r>
    <s v="05-Jan-2026"/>
    <x v="3"/>
    <x v="2"/>
    <x v="3"/>
    <n v="1"/>
    <n v="60000"/>
    <n v="60000"/>
  </r>
  <r>
    <s v="06-Jan-2026"/>
    <x v="2"/>
    <x v="1"/>
    <x v="4"/>
    <n v="9"/>
    <n v="12000"/>
    <n v="108000"/>
  </r>
  <r>
    <s v="07-Jan-2026"/>
    <x v="4"/>
    <x v="1"/>
    <x v="3"/>
    <n v="5"/>
    <n v="60000"/>
    <n v="300000"/>
  </r>
  <r>
    <s v="08-Jan-2026"/>
    <x v="1"/>
    <x v="0"/>
    <x v="5"/>
    <n v="9"/>
    <n v="5000"/>
    <n v="45000"/>
  </r>
  <r>
    <s v="09-Jan-2026"/>
    <x v="3"/>
    <x v="2"/>
    <x v="1"/>
    <n v="27"/>
    <n v="15000"/>
    <n v="405000"/>
  </r>
  <r>
    <s v="10-Jan-2026"/>
    <x v="2"/>
    <x v="1"/>
    <x v="2"/>
    <n v="24"/>
    <n v="1500"/>
    <n v="36000"/>
  </r>
  <r>
    <s v="11-Jan-2026"/>
    <x v="3"/>
    <x v="2"/>
    <x v="6"/>
    <n v="10"/>
    <n v="2500"/>
    <n v="25000"/>
  </r>
  <r>
    <s v="12-Jan-2026"/>
    <x v="1"/>
    <x v="0"/>
    <x v="4"/>
    <n v="26"/>
    <n v="12000"/>
    <n v="312000"/>
  </r>
  <r>
    <s v="13-Jan-2026"/>
    <x v="5"/>
    <x v="3"/>
    <x v="0"/>
    <n v="4"/>
    <n v="800"/>
    <n v="3200"/>
  </r>
  <r>
    <s v="14-Jan-2026"/>
    <x v="3"/>
    <x v="2"/>
    <x v="0"/>
    <n v="13"/>
    <n v="800"/>
    <n v="10400"/>
  </r>
  <r>
    <s v="15-Jan-2026"/>
    <x v="5"/>
    <x v="3"/>
    <x v="1"/>
    <n v="27"/>
    <n v="15000"/>
    <n v="405000"/>
  </r>
  <r>
    <s v="16-Jan-2026"/>
    <x v="2"/>
    <x v="1"/>
    <x v="7"/>
    <n v="19"/>
    <n v="3000"/>
    <n v="57000"/>
  </r>
  <r>
    <s v="17-Jan-2026"/>
    <x v="2"/>
    <x v="1"/>
    <x v="5"/>
    <n v="4"/>
    <n v="5000"/>
    <n v="20000"/>
  </r>
  <r>
    <s v="18-Jan-2026"/>
    <x v="4"/>
    <x v="1"/>
    <x v="1"/>
    <n v="28"/>
    <n v="15000"/>
    <n v="420000"/>
  </r>
  <r>
    <s v="19-Jan-2026"/>
    <x v="0"/>
    <x v="0"/>
    <x v="6"/>
    <n v="20"/>
    <n v="2500"/>
    <n v="50000"/>
  </r>
  <r>
    <s v="20-Jan-2026"/>
    <x v="1"/>
    <x v="0"/>
    <x v="0"/>
    <n v="3"/>
    <n v="800"/>
    <n v="2400"/>
  </r>
  <r>
    <s v="21-Jan-2026"/>
    <x v="0"/>
    <x v="0"/>
    <x v="4"/>
    <n v="26"/>
    <n v="12000"/>
    <n v="312000"/>
  </r>
  <r>
    <s v="22-Jan-2026"/>
    <x v="5"/>
    <x v="3"/>
    <x v="0"/>
    <n v="29"/>
    <n v="800"/>
    <n v="23200"/>
  </r>
  <r>
    <s v="23-Jan-2026"/>
    <x v="1"/>
    <x v="0"/>
    <x v="0"/>
    <n v="14"/>
    <n v="800"/>
    <n v="11200"/>
  </r>
  <r>
    <s v="24-Jan-2026"/>
    <x v="5"/>
    <x v="3"/>
    <x v="7"/>
    <n v="22"/>
    <n v="3000"/>
    <n v="66000"/>
  </r>
  <r>
    <s v="25-Jan-2026"/>
    <x v="5"/>
    <x v="3"/>
    <x v="2"/>
    <n v="13"/>
    <n v="1500"/>
    <n v="19500"/>
  </r>
  <r>
    <s v="26-Jan-2026"/>
    <x v="5"/>
    <x v="3"/>
    <x v="4"/>
    <n v="23"/>
    <n v="12000"/>
    <n v="276000"/>
  </r>
  <r>
    <s v="27-Jan-2026"/>
    <x v="5"/>
    <x v="3"/>
    <x v="0"/>
    <n v="21"/>
    <n v="800"/>
    <n v="16800"/>
  </r>
  <r>
    <s v="28-Jan-2026"/>
    <x v="0"/>
    <x v="0"/>
    <x v="2"/>
    <n v="19"/>
    <n v="1500"/>
    <n v="28500"/>
  </r>
  <r>
    <s v="29-Jan-2026"/>
    <x v="0"/>
    <x v="0"/>
    <x v="4"/>
    <n v="7"/>
    <n v="12000"/>
    <n v="84000"/>
  </r>
  <r>
    <s v="30-Jan-2026"/>
    <x v="3"/>
    <x v="2"/>
    <x v="5"/>
    <n v="10"/>
    <n v="5000"/>
    <n v="50000"/>
  </r>
  <r>
    <s v="31-Jan-2026"/>
    <x v="0"/>
    <x v="0"/>
    <x v="4"/>
    <n v="23"/>
    <n v="12000"/>
    <n v="276000"/>
  </r>
  <r>
    <s v="01-Feb-2026"/>
    <x v="5"/>
    <x v="3"/>
    <x v="3"/>
    <n v="2"/>
    <n v="60000"/>
    <n v="120000"/>
  </r>
  <r>
    <s v="02-Feb-2026"/>
    <x v="2"/>
    <x v="1"/>
    <x v="6"/>
    <n v="14"/>
    <n v="2500"/>
    <n v="35000"/>
  </r>
  <r>
    <s v="03-Feb-2026"/>
    <x v="5"/>
    <x v="3"/>
    <x v="0"/>
    <n v="8"/>
    <n v="800"/>
    <n v="6400"/>
  </r>
  <r>
    <s v="04-Feb-2026"/>
    <x v="4"/>
    <x v="1"/>
    <x v="6"/>
    <n v="8"/>
    <n v="2500"/>
    <n v="20000"/>
  </r>
  <r>
    <s v="05-Feb-2026"/>
    <x v="0"/>
    <x v="0"/>
    <x v="7"/>
    <n v="14"/>
    <n v="3000"/>
    <n v="42000"/>
  </r>
  <r>
    <s v="06-Feb-2026"/>
    <x v="0"/>
    <x v="0"/>
    <x v="7"/>
    <n v="6"/>
    <n v="3000"/>
    <n v="18000"/>
  </r>
  <r>
    <s v="07-Feb-2026"/>
    <x v="5"/>
    <x v="3"/>
    <x v="2"/>
    <n v="9"/>
    <n v="1500"/>
    <n v="13500"/>
  </r>
  <r>
    <s v="08-Feb-2026"/>
    <x v="0"/>
    <x v="0"/>
    <x v="1"/>
    <n v="25"/>
    <n v="15000"/>
    <n v="375000"/>
  </r>
  <r>
    <s v="09-Feb-2026"/>
    <x v="4"/>
    <x v="1"/>
    <x v="5"/>
    <n v="30"/>
    <n v="5000"/>
    <n v="150000"/>
  </r>
  <r>
    <s v="10-Feb-2026"/>
    <x v="4"/>
    <x v="1"/>
    <x v="5"/>
    <n v="13"/>
    <n v="5000"/>
    <n v="65000"/>
  </r>
  <r>
    <s v="11-Feb-2026"/>
    <x v="1"/>
    <x v="0"/>
    <x v="2"/>
    <n v="18"/>
    <n v="1500"/>
    <n v="27000"/>
  </r>
  <r>
    <s v="12-Feb-2026"/>
    <x v="3"/>
    <x v="2"/>
    <x v="0"/>
    <n v="26"/>
    <n v="800"/>
    <n v="20800"/>
  </r>
  <r>
    <s v="13-Feb-2026"/>
    <x v="2"/>
    <x v="1"/>
    <x v="0"/>
    <n v="6"/>
    <n v="800"/>
    <n v="4800"/>
  </r>
  <r>
    <s v="14-Feb-2026"/>
    <x v="0"/>
    <x v="0"/>
    <x v="2"/>
    <n v="27"/>
    <n v="1500"/>
    <n v="40500"/>
  </r>
  <r>
    <s v="15-Feb-2026"/>
    <x v="0"/>
    <x v="0"/>
    <x v="5"/>
    <n v="21"/>
    <n v="5000"/>
    <n v="105000"/>
  </r>
  <r>
    <s v="16-Feb-2026"/>
    <x v="2"/>
    <x v="1"/>
    <x v="5"/>
    <n v="14"/>
    <n v="5000"/>
    <n v="70000"/>
  </r>
  <r>
    <s v="17-Feb-2026"/>
    <x v="4"/>
    <x v="1"/>
    <x v="7"/>
    <n v="18"/>
    <n v="3000"/>
    <n v="54000"/>
  </r>
  <r>
    <s v="18-Feb-2026"/>
    <x v="5"/>
    <x v="3"/>
    <x v="3"/>
    <n v="1"/>
    <n v="60000"/>
    <n v="60000"/>
  </r>
  <r>
    <s v="19-Feb-2026"/>
    <x v="0"/>
    <x v="0"/>
    <x v="1"/>
    <n v="26"/>
    <n v="15000"/>
    <n v="390000"/>
  </r>
  <r>
    <s v="20-Feb-2026"/>
    <x v="0"/>
    <x v="0"/>
    <x v="6"/>
    <n v="5"/>
    <n v="2500"/>
    <n v="12500"/>
  </r>
  <r>
    <s v="21-Feb-2026"/>
    <x v="5"/>
    <x v="3"/>
    <x v="5"/>
    <n v="7"/>
    <n v="5000"/>
    <n v="35000"/>
  </r>
  <r>
    <s v="22-Feb-2026"/>
    <x v="3"/>
    <x v="2"/>
    <x v="3"/>
    <n v="3"/>
    <n v="60000"/>
    <n v="180000"/>
  </r>
  <r>
    <s v="23-Feb-2026"/>
    <x v="4"/>
    <x v="1"/>
    <x v="2"/>
    <n v="18"/>
    <n v="1500"/>
    <n v="27000"/>
  </r>
  <r>
    <s v="24-Feb-2026"/>
    <x v="2"/>
    <x v="1"/>
    <x v="1"/>
    <n v="28"/>
    <n v="15000"/>
    <n v="420000"/>
  </r>
  <r>
    <s v="25-Feb-2026"/>
    <x v="0"/>
    <x v="0"/>
    <x v="4"/>
    <n v="6"/>
    <n v="12000"/>
    <n v="72000"/>
  </r>
  <r>
    <s v="26-Feb-2026"/>
    <x v="5"/>
    <x v="3"/>
    <x v="2"/>
    <n v="19"/>
    <n v="1500"/>
    <n v="28500"/>
  </r>
  <r>
    <s v="27-Feb-2026"/>
    <x v="4"/>
    <x v="1"/>
    <x v="3"/>
    <n v="5"/>
    <n v="60000"/>
    <n v="300000"/>
  </r>
  <r>
    <s v="28-Feb-2026"/>
    <x v="5"/>
    <x v="3"/>
    <x v="7"/>
    <n v="2"/>
    <n v="3000"/>
    <n v="6000"/>
  </r>
  <r>
    <s v="01-Mar-2026"/>
    <x v="2"/>
    <x v="1"/>
    <x v="6"/>
    <n v="30"/>
    <n v="2500"/>
    <n v="75000"/>
  </r>
  <r>
    <s v="02-Mar-2026"/>
    <x v="5"/>
    <x v="3"/>
    <x v="4"/>
    <n v="3"/>
    <n v="12000"/>
    <n v="36000"/>
  </r>
  <r>
    <s v="03-Mar-2026"/>
    <x v="1"/>
    <x v="0"/>
    <x v="0"/>
    <n v="4"/>
    <n v="800"/>
    <n v="3200"/>
  </r>
  <r>
    <s v="04-Mar-2026"/>
    <x v="0"/>
    <x v="0"/>
    <x v="7"/>
    <n v="28"/>
    <n v="3000"/>
    <n v="84000"/>
  </r>
  <r>
    <s v="05-Mar-2026"/>
    <x v="2"/>
    <x v="1"/>
    <x v="2"/>
    <n v="6"/>
    <n v="1500"/>
    <n v="9000"/>
  </r>
  <r>
    <s v="06-Mar-2026"/>
    <x v="0"/>
    <x v="0"/>
    <x v="7"/>
    <n v="19"/>
    <n v="3000"/>
    <n v="57000"/>
  </r>
  <r>
    <s v="07-Mar-2026"/>
    <x v="1"/>
    <x v="0"/>
    <x v="1"/>
    <n v="18"/>
    <n v="15000"/>
    <n v="270000"/>
  </r>
  <r>
    <s v="08-Mar-2026"/>
    <x v="4"/>
    <x v="1"/>
    <x v="5"/>
    <n v="8"/>
    <n v="5000"/>
    <n v="40000"/>
  </r>
  <r>
    <s v="09-Mar-2026"/>
    <x v="4"/>
    <x v="1"/>
    <x v="4"/>
    <n v="24"/>
    <n v="12000"/>
    <n v="288000"/>
  </r>
  <r>
    <s v="10-Mar-2026"/>
    <x v="5"/>
    <x v="3"/>
    <x v="5"/>
    <n v="23"/>
    <n v="5000"/>
    <n v="115000"/>
  </r>
  <r>
    <s v="11-Mar-2026"/>
    <x v="0"/>
    <x v="0"/>
    <x v="6"/>
    <n v="16"/>
    <n v="2500"/>
    <n v="40000"/>
  </r>
  <r>
    <s v="12-Mar-2026"/>
    <x v="4"/>
    <x v="1"/>
    <x v="7"/>
    <n v="5"/>
    <n v="3000"/>
    <n v="15000"/>
  </r>
  <r>
    <s v="13-Mar-2026"/>
    <x v="1"/>
    <x v="0"/>
    <x v="4"/>
    <n v="4"/>
    <n v="12000"/>
    <n v="48000"/>
  </r>
  <r>
    <s v="14-Mar-2026"/>
    <x v="5"/>
    <x v="3"/>
    <x v="3"/>
    <n v="5"/>
    <n v="60000"/>
    <n v="300000"/>
  </r>
  <r>
    <s v="15-Mar-2026"/>
    <x v="4"/>
    <x v="1"/>
    <x v="4"/>
    <n v="20"/>
    <n v="12000"/>
    <n v="240000"/>
  </r>
  <r>
    <s v="16-Mar-2026"/>
    <x v="1"/>
    <x v="0"/>
    <x v="3"/>
    <n v="1"/>
    <n v="60000"/>
    <n v="60000"/>
  </r>
  <r>
    <s v="17-Mar-2026"/>
    <x v="0"/>
    <x v="0"/>
    <x v="3"/>
    <n v="2"/>
    <n v="60000"/>
    <n v="120000"/>
  </r>
  <r>
    <s v="18-Mar-2026"/>
    <x v="2"/>
    <x v="1"/>
    <x v="3"/>
    <n v="3"/>
    <n v="60000"/>
    <n v="180000"/>
  </r>
  <r>
    <s v="19-Mar-2026"/>
    <x v="2"/>
    <x v="1"/>
    <x v="4"/>
    <n v="10"/>
    <n v="12000"/>
    <n v="120000"/>
  </r>
  <r>
    <s v="20-Mar-2026"/>
    <x v="0"/>
    <x v="0"/>
    <x v="7"/>
    <n v="8"/>
    <n v="3000"/>
    <n v="24000"/>
  </r>
  <r>
    <s v="21-Mar-2026"/>
    <x v="4"/>
    <x v="1"/>
    <x v="2"/>
    <n v="25"/>
    <n v="1500"/>
    <n v="37500"/>
  </r>
  <r>
    <s v="22-Mar-2026"/>
    <x v="4"/>
    <x v="1"/>
    <x v="7"/>
    <n v="9"/>
    <n v="3000"/>
    <n v="27000"/>
  </r>
  <r>
    <s v="23-Mar-2026"/>
    <x v="3"/>
    <x v="2"/>
    <x v="5"/>
    <n v="8"/>
    <n v="5000"/>
    <n v="40000"/>
  </r>
  <r>
    <s v="24-Mar-2026"/>
    <x v="2"/>
    <x v="1"/>
    <x v="0"/>
    <n v="23"/>
    <n v="800"/>
    <n v="18400"/>
  </r>
  <r>
    <s v="25-Mar-2026"/>
    <x v="3"/>
    <x v="2"/>
    <x v="6"/>
    <n v="15"/>
    <n v="2500"/>
    <n v="37500"/>
  </r>
  <r>
    <s v="26-Mar-2026"/>
    <x v="3"/>
    <x v="2"/>
    <x v="7"/>
    <n v="29"/>
    <n v="3000"/>
    <n v="87000"/>
  </r>
  <r>
    <s v="27-Mar-2026"/>
    <x v="0"/>
    <x v="0"/>
    <x v="3"/>
    <n v="1"/>
    <n v="60000"/>
    <n v="60000"/>
  </r>
  <r>
    <s v="28-Mar-2026"/>
    <x v="2"/>
    <x v="1"/>
    <x v="5"/>
    <n v="25"/>
    <n v="5000"/>
    <n v="125000"/>
  </r>
  <r>
    <s v="29-Mar-2026"/>
    <x v="5"/>
    <x v="3"/>
    <x v="0"/>
    <n v="9"/>
    <n v="800"/>
    <n v="7200"/>
  </r>
  <r>
    <s v="30-Mar-2026"/>
    <x v="1"/>
    <x v="0"/>
    <x v="4"/>
    <n v="19"/>
    <n v="12000"/>
    <n v="228000"/>
  </r>
  <r>
    <s v="31-Mar-2026"/>
    <x v="3"/>
    <x v="2"/>
    <x v="2"/>
    <n v="15"/>
    <n v="1500"/>
    <n v="22500"/>
  </r>
  <r>
    <s v="01-Jan-2026"/>
    <x v="1"/>
    <x v="0"/>
    <x v="1"/>
    <n v="16"/>
    <n v="15000"/>
    <n v="240000"/>
  </r>
  <r>
    <s v="02-Jan-2026"/>
    <x v="1"/>
    <x v="0"/>
    <x v="0"/>
    <n v="16"/>
    <n v="800"/>
    <n v="12800"/>
  </r>
  <r>
    <s v="03-Jan-2026"/>
    <x v="4"/>
    <x v="1"/>
    <x v="0"/>
    <n v="3"/>
    <n v="800"/>
    <n v="2400"/>
  </r>
  <r>
    <s v="04-Jan-2026"/>
    <x v="0"/>
    <x v="0"/>
    <x v="3"/>
    <n v="1"/>
    <n v="60000"/>
    <n v="60000"/>
  </r>
  <r>
    <s v="05-Jan-2026"/>
    <x v="1"/>
    <x v="0"/>
    <x v="2"/>
    <n v="15"/>
    <n v="1500"/>
    <n v="22500"/>
  </r>
  <r>
    <s v="06-Jan-2026"/>
    <x v="3"/>
    <x v="2"/>
    <x v="7"/>
    <n v="8"/>
    <n v="3000"/>
    <n v="24000"/>
  </r>
  <r>
    <s v="07-Jan-2026"/>
    <x v="3"/>
    <x v="2"/>
    <x v="3"/>
    <n v="2"/>
    <n v="60000"/>
    <n v="120000"/>
  </r>
  <r>
    <s v="08-Jan-2026"/>
    <x v="3"/>
    <x v="2"/>
    <x v="3"/>
    <n v="4"/>
    <n v="60000"/>
    <n v="240000"/>
  </r>
  <r>
    <s v="09-Jan-2026"/>
    <x v="5"/>
    <x v="3"/>
    <x v="7"/>
    <n v="11"/>
    <n v="3000"/>
    <n v="33000"/>
  </r>
  <r>
    <s v="10-Jan-2026"/>
    <x v="3"/>
    <x v="2"/>
    <x v="7"/>
    <n v="6"/>
    <n v="3000"/>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7325C-4681-44E2-A5F7-D5E64E038620}" name="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7">
    <pivotField showAll="0"/>
    <pivotField showAll="0">
      <items count="7">
        <item x="4"/>
        <item x="3"/>
        <item x="5"/>
        <item x="0"/>
        <item x="1"/>
        <item x="2"/>
        <item t="default"/>
      </items>
    </pivotField>
    <pivotField axis="axisRow" showAll="0">
      <items count="5">
        <item x="3"/>
        <item x="1"/>
        <item x="0"/>
        <item x="2"/>
        <item t="default"/>
      </items>
    </pivotField>
    <pivotField showAll="0">
      <items count="9">
        <item x="7"/>
        <item x="2"/>
        <item x="3"/>
        <item x="4"/>
        <item x="0"/>
        <item x="1"/>
        <item x="5"/>
        <item x="6"/>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Sales Amount" fld="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1F7DC-3A2E-4995-8360-F733D790BD11}" name="Produc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30" firstHeaderRow="1" firstDataRow="1" firstDataCol="1"/>
  <pivotFields count="7">
    <pivotField showAll="0"/>
    <pivotField showAll="0">
      <items count="7">
        <item x="4"/>
        <item x="3"/>
        <item x="5"/>
        <item x="0"/>
        <item x="1"/>
        <item x="2"/>
        <item t="default"/>
      </items>
    </pivotField>
    <pivotField showAll="0">
      <items count="5">
        <item x="3"/>
        <item x="1"/>
        <item x="0"/>
        <item x="2"/>
        <item t="default"/>
      </items>
    </pivotField>
    <pivotField axis="axisRow" showAll="0">
      <items count="9">
        <item x="7"/>
        <item x="2"/>
        <item x="3"/>
        <item x="4"/>
        <item x="0"/>
        <item x="1"/>
        <item x="5"/>
        <item x="6"/>
        <item t="default"/>
      </items>
    </pivotField>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Sales Amount" fld="6" baseField="0" baseItem="0" numFmtId="16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5466A-8B94-409A-8894-C8B22E70C1BC}" name="SalesPers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7" firstHeaderRow="1" firstDataRow="1" firstDataCol="1"/>
  <pivotFields count="7">
    <pivotField showAll="0"/>
    <pivotField axis="axisRow" showAll="0">
      <items count="7">
        <item x="4"/>
        <item x="3"/>
        <item x="5"/>
        <item x="0"/>
        <item x="1"/>
        <item x="2"/>
        <item t="default"/>
      </items>
    </pivotField>
    <pivotField showAll="0">
      <items count="5">
        <item x="3"/>
        <item x="1"/>
        <item x="0"/>
        <item x="2"/>
        <item t="default"/>
      </items>
    </pivotField>
    <pivotField showAll="0">
      <items count="9">
        <item x="7"/>
        <item x="2"/>
        <item x="3"/>
        <item x="4"/>
        <item x="0"/>
        <item x="1"/>
        <item x="5"/>
        <item x="6"/>
        <item t="default"/>
      </items>
    </pivotField>
    <pivotField showAll="0"/>
    <pivotField showAll="0"/>
    <pivotField dataField="1" showAll="0"/>
  </pivotFields>
  <rowFields count="1">
    <field x="1"/>
  </rowFields>
  <rowItems count="7">
    <i>
      <x/>
    </i>
    <i>
      <x v="1"/>
    </i>
    <i>
      <x v="2"/>
    </i>
    <i>
      <x v="3"/>
    </i>
    <i>
      <x v="4"/>
    </i>
    <i>
      <x v="5"/>
    </i>
    <i t="grand">
      <x/>
    </i>
  </rowItems>
  <colItems count="1">
    <i/>
  </colItems>
  <dataFields count="1">
    <dataField name="Sum of Sales Amount" fld="6"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C38D30-826C-48C2-886B-B3FF79FE6FC6}" sourceName="Region">
  <pivotTables>
    <pivotTable tabId="2" name="Region_Sales"/>
    <pivotTable tabId="2" name="Product_Sales"/>
    <pivotTable tabId="2" name="SalesPerson_Sales"/>
  </pivotTables>
  <data>
    <tabular pivotCacheId="953048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F376AB8-490D-4A6A-B8D0-0F824F1C7F92}" sourceName="Salesperson">
  <pivotTables>
    <pivotTable tabId="2" name="SalesPerson_Sales"/>
    <pivotTable tabId="2" name="Product_Sales"/>
    <pivotTable tabId="2" name="Region_Sales"/>
  </pivotTables>
  <data>
    <tabular pivotCacheId="95304831">
      <items count="6">
        <i x="4" s="1"/>
        <i x="3" s="1"/>
        <i x="5"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50B77A-A135-402C-B108-F6DD89E1695A}" sourceName="Product">
  <pivotTables>
    <pivotTable tabId="2" name="Product_Sales"/>
    <pivotTable tabId="2" name="Region_Sales"/>
    <pivotTable tabId="2" name="SalesPerson_Sales"/>
  </pivotTables>
  <data>
    <tabular pivotCacheId="95304831">
      <items count="8">
        <i x="7" s="1"/>
        <i x="2" s="1"/>
        <i x="3" s="1"/>
        <i x="4" s="1"/>
        <i x="0" s="1"/>
        <i x="1"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44B47C-DB60-41CE-A5AE-3FEB4A94349A}" cache="Slicer_Region" caption="Region" rowHeight="234950"/>
  <slicer name="Salesperson" xr10:uid="{5774F8B0-0FBE-4503-89EE-9A76F22E51F3}" cache="Slicer_Salesperson" caption="Salesperson" startItem="3" rowHeight="234950"/>
  <slicer name="Product" xr10:uid="{BD79BE8F-0DB7-4C4E-876A-1B3893F0B747}" cache="Slicer_Product" caption="Product" startItem="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50F15-BF4D-40D1-9271-B72F36949F4F}" name="SalesData" displayName="SalesData" ref="A1:G101" totalsRowShown="0">
  <autoFilter ref="A1:G101" xr:uid="{5B550F15-BF4D-40D1-9271-B72F36949F4F}"/>
  <tableColumns count="7">
    <tableColumn id="1" xr3:uid="{B91FFFF2-DB5A-487B-8EAC-394EAB51AA84}" name="Date"/>
    <tableColumn id="2" xr3:uid="{CD680D9A-8AD4-40D6-9FA5-BFB7B8C19064}" name="Salesperson"/>
    <tableColumn id="3" xr3:uid="{F3B1B1C9-563E-489A-964B-F0C2C18C385F}" name="Region"/>
    <tableColumn id="4" xr3:uid="{97C38974-2FE2-4D9B-9F3E-9AE7865969DE}" name="Product"/>
    <tableColumn id="5" xr3:uid="{E27CF9B3-58A1-4AF3-8260-CC2EEF8F5D81}" name="Units Sold"/>
    <tableColumn id="6" xr3:uid="{F05A10C6-C77A-43CC-B045-BAC8619B8C82}" name="Unit Price"/>
    <tableColumn id="7" xr3:uid="{119D97ED-D220-4F13-A4CE-957C040DA46A}" name="Sales Amount">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5794-F482-428F-A5FA-88BB2F18E741}">
  <dimension ref="A1:G101"/>
  <sheetViews>
    <sheetView topLeftCell="A2" workbookViewId="0">
      <selection activeCell="B3" sqref="B3"/>
    </sheetView>
  </sheetViews>
  <sheetFormatPr defaultRowHeight="14.4" x14ac:dyDescent="0.3"/>
  <cols>
    <col min="1" max="1" width="20.33203125" customWidth="1"/>
    <col min="2" max="2" width="28.5546875" customWidth="1"/>
    <col min="3" max="3" width="23.44140625" customWidth="1"/>
    <col min="4" max="4" width="15.88671875" customWidth="1"/>
    <col min="5" max="5" width="14.5546875" customWidth="1"/>
    <col min="6" max="6" width="15.6640625" customWidth="1"/>
    <col min="7" max="7" width="16.109375" customWidth="1"/>
    <col min="8" max="8" width="14.77734375" customWidth="1"/>
    <col min="9" max="9" width="16.44140625" customWidth="1"/>
    <col min="10" max="10" width="16.21875" customWidth="1"/>
  </cols>
  <sheetData>
    <row r="1" spans="1:7" x14ac:dyDescent="0.3">
      <c r="A1" t="s">
        <v>0</v>
      </c>
      <c r="B1" t="s">
        <v>1</v>
      </c>
      <c r="C1" t="s">
        <v>2</v>
      </c>
      <c r="D1" t="s">
        <v>3</v>
      </c>
      <c r="E1" t="s">
        <v>4</v>
      </c>
      <c r="F1" t="s">
        <v>5</v>
      </c>
      <c r="G1" t="s">
        <v>6</v>
      </c>
    </row>
    <row r="2" spans="1:7" x14ac:dyDescent="0.3">
      <c r="A2" t="s">
        <v>22</v>
      </c>
      <c r="B2" t="s">
        <v>12</v>
      </c>
      <c r="C2" t="s">
        <v>15</v>
      </c>
      <c r="D2" t="s">
        <v>16</v>
      </c>
      <c r="E2">
        <v>2</v>
      </c>
      <c r="F2">
        <v>800</v>
      </c>
      <c r="G2">
        <f>E2*F2</f>
        <v>1600</v>
      </c>
    </row>
    <row r="3" spans="1:7" x14ac:dyDescent="0.3">
      <c r="A3" t="s">
        <v>23</v>
      </c>
      <c r="B3" t="s">
        <v>12</v>
      </c>
      <c r="C3" t="s">
        <v>15</v>
      </c>
      <c r="D3" t="s">
        <v>21</v>
      </c>
      <c r="E3">
        <v>9</v>
      </c>
      <c r="F3">
        <v>15000</v>
      </c>
      <c r="G3">
        <f t="shared" ref="G3:G66" si="0">E3*F3</f>
        <v>135000</v>
      </c>
    </row>
    <row r="4" spans="1:7" x14ac:dyDescent="0.3">
      <c r="A4" t="s">
        <v>24</v>
      </c>
      <c r="B4" t="s">
        <v>8</v>
      </c>
      <c r="C4" t="s">
        <v>15</v>
      </c>
      <c r="D4" t="s">
        <v>18</v>
      </c>
      <c r="E4">
        <v>25</v>
      </c>
      <c r="F4">
        <v>1500</v>
      </c>
      <c r="G4">
        <f t="shared" si="0"/>
        <v>37500</v>
      </c>
    </row>
    <row r="5" spans="1:7" x14ac:dyDescent="0.3">
      <c r="A5" t="s">
        <v>25</v>
      </c>
      <c r="B5" t="s">
        <v>7</v>
      </c>
      <c r="C5" t="s">
        <v>13</v>
      </c>
      <c r="D5" t="s">
        <v>16</v>
      </c>
      <c r="E5">
        <v>20</v>
      </c>
      <c r="F5">
        <v>800</v>
      </c>
      <c r="G5">
        <f t="shared" si="0"/>
        <v>16000</v>
      </c>
    </row>
    <row r="6" spans="1:7" x14ac:dyDescent="0.3">
      <c r="A6" t="s">
        <v>26</v>
      </c>
      <c r="B6" t="s">
        <v>10</v>
      </c>
      <c r="C6" t="s">
        <v>19</v>
      </c>
      <c r="D6" t="s">
        <v>14</v>
      </c>
      <c r="E6">
        <v>1</v>
      </c>
      <c r="F6">
        <v>60000</v>
      </c>
      <c r="G6">
        <f t="shared" si="0"/>
        <v>60000</v>
      </c>
    </row>
    <row r="7" spans="1:7" x14ac:dyDescent="0.3">
      <c r="A7" t="s">
        <v>27</v>
      </c>
      <c r="B7" t="s">
        <v>7</v>
      </c>
      <c r="C7" t="s">
        <v>13</v>
      </c>
      <c r="D7" t="s">
        <v>20</v>
      </c>
      <c r="E7">
        <v>9</v>
      </c>
      <c r="F7">
        <v>12000</v>
      </c>
      <c r="G7">
        <f t="shared" si="0"/>
        <v>108000</v>
      </c>
    </row>
    <row r="8" spans="1:7" x14ac:dyDescent="0.3">
      <c r="A8" t="s">
        <v>28</v>
      </c>
      <c r="B8" t="s">
        <v>11</v>
      </c>
      <c r="C8" t="s">
        <v>13</v>
      </c>
      <c r="D8" t="s">
        <v>14</v>
      </c>
      <c r="E8">
        <v>5</v>
      </c>
      <c r="F8">
        <v>60000</v>
      </c>
      <c r="G8">
        <f t="shared" si="0"/>
        <v>300000</v>
      </c>
    </row>
    <row r="9" spans="1:7" x14ac:dyDescent="0.3">
      <c r="A9" t="s">
        <v>29</v>
      </c>
      <c r="B9" t="s">
        <v>8</v>
      </c>
      <c r="C9" t="s">
        <v>15</v>
      </c>
      <c r="D9" t="s">
        <v>30</v>
      </c>
      <c r="E9">
        <v>9</v>
      </c>
      <c r="F9">
        <v>5000</v>
      </c>
      <c r="G9">
        <f t="shared" si="0"/>
        <v>45000</v>
      </c>
    </row>
    <row r="10" spans="1:7" x14ac:dyDescent="0.3">
      <c r="A10" t="s">
        <v>31</v>
      </c>
      <c r="B10" t="s">
        <v>10</v>
      </c>
      <c r="C10" t="s">
        <v>19</v>
      </c>
      <c r="D10" t="s">
        <v>21</v>
      </c>
      <c r="E10">
        <v>27</v>
      </c>
      <c r="F10">
        <v>15000</v>
      </c>
      <c r="G10">
        <f t="shared" si="0"/>
        <v>405000</v>
      </c>
    </row>
    <row r="11" spans="1:7" x14ac:dyDescent="0.3">
      <c r="A11" t="s">
        <v>32</v>
      </c>
      <c r="B11" t="s">
        <v>7</v>
      </c>
      <c r="C11" t="s">
        <v>13</v>
      </c>
      <c r="D11" t="s">
        <v>18</v>
      </c>
      <c r="E11">
        <v>24</v>
      </c>
      <c r="F11">
        <v>1500</v>
      </c>
      <c r="G11">
        <f t="shared" si="0"/>
        <v>36000</v>
      </c>
    </row>
    <row r="12" spans="1:7" x14ac:dyDescent="0.3">
      <c r="A12" t="s">
        <v>33</v>
      </c>
      <c r="B12" t="s">
        <v>10</v>
      </c>
      <c r="C12" t="s">
        <v>19</v>
      </c>
      <c r="D12" t="s">
        <v>34</v>
      </c>
      <c r="E12">
        <v>10</v>
      </c>
      <c r="F12">
        <v>2500</v>
      </c>
      <c r="G12">
        <f t="shared" si="0"/>
        <v>25000</v>
      </c>
    </row>
    <row r="13" spans="1:7" x14ac:dyDescent="0.3">
      <c r="A13" t="s">
        <v>35</v>
      </c>
      <c r="B13" t="s">
        <v>8</v>
      </c>
      <c r="C13" t="s">
        <v>15</v>
      </c>
      <c r="D13" t="s">
        <v>20</v>
      </c>
      <c r="E13">
        <v>26</v>
      </c>
      <c r="F13">
        <v>12000</v>
      </c>
      <c r="G13">
        <f t="shared" si="0"/>
        <v>312000</v>
      </c>
    </row>
    <row r="14" spans="1:7" x14ac:dyDescent="0.3">
      <c r="A14" t="s">
        <v>36</v>
      </c>
      <c r="B14" t="s">
        <v>9</v>
      </c>
      <c r="C14" t="s">
        <v>17</v>
      </c>
      <c r="D14" t="s">
        <v>16</v>
      </c>
      <c r="E14">
        <v>4</v>
      </c>
      <c r="F14">
        <v>800</v>
      </c>
      <c r="G14">
        <f t="shared" si="0"/>
        <v>3200</v>
      </c>
    </row>
    <row r="15" spans="1:7" x14ac:dyDescent="0.3">
      <c r="A15" t="s">
        <v>37</v>
      </c>
      <c r="B15" t="s">
        <v>10</v>
      </c>
      <c r="C15" t="s">
        <v>19</v>
      </c>
      <c r="D15" t="s">
        <v>16</v>
      </c>
      <c r="E15">
        <v>13</v>
      </c>
      <c r="F15">
        <v>800</v>
      </c>
      <c r="G15">
        <f t="shared" si="0"/>
        <v>10400</v>
      </c>
    </row>
    <row r="16" spans="1:7" x14ac:dyDescent="0.3">
      <c r="A16" t="s">
        <v>38</v>
      </c>
      <c r="B16" t="s">
        <v>9</v>
      </c>
      <c r="C16" t="s">
        <v>17</v>
      </c>
      <c r="D16" t="s">
        <v>21</v>
      </c>
      <c r="E16">
        <v>27</v>
      </c>
      <c r="F16">
        <v>15000</v>
      </c>
      <c r="G16">
        <f t="shared" si="0"/>
        <v>405000</v>
      </c>
    </row>
    <row r="17" spans="1:7" x14ac:dyDescent="0.3">
      <c r="A17" t="s">
        <v>39</v>
      </c>
      <c r="B17" t="s">
        <v>7</v>
      </c>
      <c r="C17" t="s">
        <v>13</v>
      </c>
      <c r="D17" t="s">
        <v>40</v>
      </c>
      <c r="E17">
        <v>19</v>
      </c>
      <c r="F17">
        <v>3000</v>
      </c>
      <c r="G17">
        <f t="shared" si="0"/>
        <v>57000</v>
      </c>
    </row>
    <row r="18" spans="1:7" x14ac:dyDescent="0.3">
      <c r="A18" t="s">
        <v>41</v>
      </c>
      <c r="B18" t="s">
        <v>7</v>
      </c>
      <c r="C18" t="s">
        <v>13</v>
      </c>
      <c r="D18" t="s">
        <v>30</v>
      </c>
      <c r="E18">
        <v>4</v>
      </c>
      <c r="F18">
        <v>5000</v>
      </c>
      <c r="G18">
        <f t="shared" si="0"/>
        <v>20000</v>
      </c>
    </row>
    <row r="19" spans="1:7" x14ac:dyDescent="0.3">
      <c r="A19" t="s">
        <v>42</v>
      </c>
      <c r="B19" t="s">
        <v>11</v>
      </c>
      <c r="C19" t="s">
        <v>13</v>
      </c>
      <c r="D19" t="s">
        <v>21</v>
      </c>
      <c r="E19">
        <v>28</v>
      </c>
      <c r="F19">
        <v>15000</v>
      </c>
      <c r="G19">
        <f t="shared" si="0"/>
        <v>420000</v>
      </c>
    </row>
    <row r="20" spans="1:7" x14ac:dyDescent="0.3">
      <c r="A20" t="s">
        <v>43</v>
      </c>
      <c r="B20" t="s">
        <v>12</v>
      </c>
      <c r="C20" t="s">
        <v>15</v>
      </c>
      <c r="D20" t="s">
        <v>34</v>
      </c>
      <c r="E20">
        <v>20</v>
      </c>
      <c r="F20">
        <v>2500</v>
      </c>
      <c r="G20">
        <f t="shared" si="0"/>
        <v>50000</v>
      </c>
    </row>
    <row r="21" spans="1:7" x14ac:dyDescent="0.3">
      <c r="A21" t="s">
        <v>44</v>
      </c>
      <c r="B21" t="s">
        <v>8</v>
      </c>
      <c r="C21" t="s">
        <v>15</v>
      </c>
      <c r="D21" t="s">
        <v>16</v>
      </c>
      <c r="E21">
        <v>3</v>
      </c>
      <c r="F21">
        <v>800</v>
      </c>
      <c r="G21">
        <f t="shared" si="0"/>
        <v>2400</v>
      </c>
    </row>
    <row r="22" spans="1:7" x14ac:dyDescent="0.3">
      <c r="A22" t="s">
        <v>45</v>
      </c>
      <c r="B22" t="s">
        <v>12</v>
      </c>
      <c r="C22" t="s">
        <v>15</v>
      </c>
      <c r="D22" t="s">
        <v>20</v>
      </c>
      <c r="E22">
        <v>26</v>
      </c>
      <c r="F22">
        <v>12000</v>
      </c>
      <c r="G22">
        <f t="shared" si="0"/>
        <v>312000</v>
      </c>
    </row>
    <row r="23" spans="1:7" x14ac:dyDescent="0.3">
      <c r="A23" t="s">
        <v>46</v>
      </c>
      <c r="B23" t="s">
        <v>9</v>
      </c>
      <c r="C23" t="s">
        <v>17</v>
      </c>
      <c r="D23" t="s">
        <v>16</v>
      </c>
      <c r="E23">
        <v>29</v>
      </c>
      <c r="F23">
        <v>800</v>
      </c>
      <c r="G23">
        <f t="shared" si="0"/>
        <v>23200</v>
      </c>
    </row>
    <row r="24" spans="1:7" x14ac:dyDescent="0.3">
      <c r="A24" t="s">
        <v>47</v>
      </c>
      <c r="B24" t="s">
        <v>8</v>
      </c>
      <c r="C24" t="s">
        <v>15</v>
      </c>
      <c r="D24" t="s">
        <v>16</v>
      </c>
      <c r="E24">
        <v>14</v>
      </c>
      <c r="F24">
        <v>800</v>
      </c>
      <c r="G24">
        <f t="shared" si="0"/>
        <v>11200</v>
      </c>
    </row>
    <row r="25" spans="1:7" x14ac:dyDescent="0.3">
      <c r="A25" t="s">
        <v>48</v>
      </c>
      <c r="B25" t="s">
        <v>9</v>
      </c>
      <c r="C25" t="s">
        <v>17</v>
      </c>
      <c r="D25" t="s">
        <v>40</v>
      </c>
      <c r="E25">
        <v>22</v>
      </c>
      <c r="F25">
        <v>3000</v>
      </c>
      <c r="G25">
        <f t="shared" si="0"/>
        <v>66000</v>
      </c>
    </row>
    <row r="26" spans="1:7" x14ac:dyDescent="0.3">
      <c r="A26" t="s">
        <v>49</v>
      </c>
      <c r="B26" t="s">
        <v>9</v>
      </c>
      <c r="C26" t="s">
        <v>17</v>
      </c>
      <c r="D26" t="s">
        <v>18</v>
      </c>
      <c r="E26">
        <v>13</v>
      </c>
      <c r="F26">
        <v>1500</v>
      </c>
      <c r="G26">
        <f t="shared" si="0"/>
        <v>19500</v>
      </c>
    </row>
    <row r="27" spans="1:7" x14ac:dyDescent="0.3">
      <c r="A27" t="s">
        <v>50</v>
      </c>
      <c r="B27" t="s">
        <v>9</v>
      </c>
      <c r="C27" t="s">
        <v>17</v>
      </c>
      <c r="D27" t="s">
        <v>20</v>
      </c>
      <c r="E27">
        <v>23</v>
      </c>
      <c r="F27">
        <v>12000</v>
      </c>
      <c r="G27">
        <f t="shared" si="0"/>
        <v>276000</v>
      </c>
    </row>
    <row r="28" spans="1:7" x14ac:dyDescent="0.3">
      <c r="A28" t="s">
        <v>51</v>
      </c>
      <c r="B28" t="s">
        <v>9</v>
      </c>
      <c r="C28" t="s">
        <v>17</v>
      </c>
      <c r="D28" t="s">
        <v>16</v>
      </c>
      <c r="E28">
        <v>21</v>
      </c>
      <c r="F28">
        <v>800</v>
      </c>
      <c r="G28">
        <f t="shared" si="0"/>
        <v>16800</v>
      </c>
    </row>
    <row r="29" spans="1:7" x14ac:dyDescent="0.3">
      <c r="A29" t="s">
        <v>52</v>
      </c>
      <c r="B29" t="s">
        <v>12</v>
      </c>
      <c r="C29" t="s">
        <v>15</v>
      </c>
      <c r="D29" t="s">
        <v>18</v>
      </c>
      <c r="E29">
        <v>19</v>
      </c>
      <c r="F29">
        <v>1500</v>
      </c>
      <c r="G29">
        <f t="shared" si="0"/>
        <v>28500</v>
      </c>
    </row>
    <row r="30" spans="1:7" x14ac:dyDescent="0.3">
      <c r="A30" t="s">
        <v>53</v>
      </c>
      <c r="B30" t="s">
        <v>12</v>
      </c>
      <c r="C30" t="s">
        <v>15</v>
      </c>
      <c r="D30" t="s">
        <v>20</v>
      </c>
      <c r="E30">
        <v>7</v>
      </c>
      <c r="F30">
        <v>12000</v>
      </c>
      <c r="G30">
        <f t="shared" si="0"/>
        <v>84000</v>
      </c>
    </row>
    <row r="31" spans="1:7" x14ac:dyDescent="0.3">
      <c r="A31" t="s">
        <v>54</v>
      </c>
      <c r="B31" t="s">
        <v>10</v>
      </c>
      <c r="C31" t="s">
        <v>19</v>
      </c>
      <c r="D31" t="s">
        <v>30</v>
      </c>
      <c r="E31">
        <v>10</v>
      </c>
      <c r="F31">
        <v>5000</v>
      </c>
      <c r="G31">
        <f t="shared" si="0"/>
        <v>50000</v>
      </c>
    </row>
    <row r="32" spans="1:7" x14ac:dyDescent="0.3">
      <c r="A32" t="s">
        <v>55</v>
      </c>
      <c r="B32" t="s">
        <v>12</v>
      </c>
      <c r="C32" t="s">
        <v>15</v>
      </c>
      <c r="D32" t="s">
        <v>20</v>
      </c>
      <c r="E32">
        <v>23</v>
      </c>
      <c r="F32">
        <v>12000</v>
      </c>
      <c r="G32">
        <f t="shared" si="0"/>
        <v>276000</v>
      </c>
    </row>
    <row r="33" spans="1:7" x14ac:dyDescent="0.3">
      <c r="A33" t="s">
        <v>56</v>
      </c>
      <c r="B33" t="s">
        <v>9</v>
      </c>
      <c r="C33" t="s">
        <v>17</v>
      </c>
      <c r="D33" t="s">
        <v>14</v>
      </c>
      <c r="E33">
        <v>2</v>
      </c>
      <c r="F33">
        <v>60000</v>
      </c>
      <c r="G33">
        <f t="shared" si="0"/>
        <v>120000</v>
      </c>
    </row>
    <row r="34" spans="1:7" x14ac:dyDescent="0.3">
      <c r="A34" t="s">
        <v>57</v>
      </c>
      <c r="B34" t="s">
        <v>7</v>
      </c>
      <c r="C34" t="s">
        <v>13</v>
      </c>
      <c r="D34" t="s">
        <v>34</v>
      </c>
      <c r="E34">
        <v>14</v>
      </c>
      <c r="F34">
        <v>2500</v>
      </c>
      <c r="G34">
        <f t="shared" si="0"/>
        <v>35000</v>
      </c>
    </row>
    <row r="35" spans="1:7" x14ac:dyDescent="0.3">
      <c r="A35" t="s">
        <v>58</v>
      </c>
      <c r="B35" t="s">
        <v>9</v>
      </c>
      <c r="C35" t="s">
        <v>17</v>
      </c>
      <c r="D35" t="s">
        <v>16</v>
      </c>
      <c r="E35">
        <v>8</v>
      </c>
      <c r="F35">
        <v>800</v>
      </c>
      <c r="G35">
        <f t="shared" si="0"/>
        <v>6400</v>
      </c>
    </row>
    <row r="36" spans="1:7" x14ac:dyDescent="0.3">
      <c r="A36" t="s">
        <v>59</v>
      </c>
      <c r="B36" t="s">
        <v>11</v>
      </c>
      <c r="C36" t="s">
        <v>13</v>
      </c>
      <c r="D36" t="s">
        <v>34</v>
      </c>
      <c r="E36">
        <v>8</v>
      </c>
      <c r="F36">
        <v>2500</v>
      </c>
      <c r="G36">
        <f t="shared" si="0"/>
        <v>20000</v>
      </c>
    </row>
    <row r="37" spans="1:7" x14ac:dyDescent="0.3">
      <c r="A37" t="s">
        <v>60</v>
      </c>
      <c r="B37" t="s">
        <v>12</v>
      </c>
      <c r="C37" t="s">
        <v>15</v>
      </c>
      <c r="D37" t="s">
        <v>40</v>
      </c>
      <c r="E37">
        <v>14</v>
      </c>
      <c r="F37">
        <v>3000</v>
      </c>
      <c r="G37">
        <f t="shared" si="0"/>
        <v>42000</v>
      </c>
    </row>
    <row r="38" spans="1:7" x14ac:dyDescent="0.3">
      <c r="A38" t="s">
        <v>61</v>
      </c>
      <c r="B38" t="s">
        <v>12</v>
      </c>
      <c r="C38" t="s">
        <v>15</v>
      </c>
      <c r="D38" t="s">
        <v>40</v>
      </c>
      <c r="E38">
        <v>6</v>
      </c>
      <c r="F38">
        <v>3000</v>
      </c>
      <c r="G38">
        <f t="shared" si="0"/>
        <v>18000</v>
      </c>
    </row>
    <row r="39" spans="1:7" x14ac:dyDescent="0.3">
      <c r="A39" t="s">
        <v>62</v>
      </c>
      <c r="B39" t="s">
        <v>9</v>
      </c>
      <c r="C39" t="s">
        <v>17</v>
      </c>
      <c r="D39" t="s">
        <v>18</v>
      </c>
      <c r="E39">
        <v>9</v>
      </c>
      <c r="F39">
        <v>1500</v>
      </c>
      <c r="G39">
        <f t="shared" si="0"/>
        <v>13500</v>
      </c>
    </row>
    <row r="40" spans="1:7" x14ac:dyDescent="0.3">
      <c r="A40" t="s">
        <v>63</v>
      </c>
      <c r="B40" t="s">
        <v>12</v>
      </c>
      <c r="C40" t="s">
        <v>15</v>
      </c>
      <c r="D40" t="s">
        <v>21</v>
      </c>
      <c r="E40">
        <v>25</v>
      </c>
      <c r="F40">
        <v>15000</v>
      </c>
      <c r="G40">
        <f t="shared" si="0"/>
        <v>375000</v>
      </c>
    </row>
    <row r="41" spans="1:7" x14ac:dyDescent="0.3">
      <c r="A41" t="s">
        <v>64</v>
      </c>
      <c r="B41" t="s">
        <v>11</v>
      </c>
      <c r="C41" t="s">
        <v>13</v>
      </c>
      <c r="D41" t="s">
        <v>30</v>
      </c>
      <c r="E41">
        <v>30</v>
      </c>
      <c r="F41">
        <v>5000</v>
      </c>
      <c r="G41">
        <f t="shared" si="0"/>
        <v>150000</v>
      </c>
    </row>
    <row r="42" spans="1:7" x14ac:dyDescent="0.3">
      <c r="A42" t="s">
        <v>65</v>
      </c>
      <c r="B42" t="s">
        <v>11</v>
      </c>
      <c r="C42" t="s">
        <v>13</v>
      </c>
      <c r="D42" t="s">
        <v>30</v>
      </c>
      <c r="E42">
        <v>13</v>
      </c>
      <c r="F42">
        <v>5000</v>
      </c>
      <c r="G42">
        <f t="shared" si="0"/>
        <v>65000</v>
      </c>
    </row>
    <row r="43" spans="1:7" x14ac:dyDescent="0.3">
      <c r="A43" t="s">
        <v>66</v>
      </c>
      <c r="B43" t="s">
        <v>8</v>
      </c>
      <c r="C43" t="s">
        <v>15</v>
      </c>
      <c r="D43" t="s">
        <v>18</v>
      </c>
      <c r="E43">
        <v>18</v>
      </c>
      <c r="F43">
        <v>1500</v>
      </c>
      <c r="G43">
        <f t="shared" si="0"/>
        <v>27000</v>
      </c>
    </row>
    <row r="44" spans="1:7" x14ac:dyDescent="0.3">
      <c r="A44" t="s">
        <v>67</v>
      </c>
      <c r="B44" t="s">
        <v>10</v>
      </c>
      <c r="C44" t="s">
        <v>19</v>
      </c>
      <c r="D44" t="s">
        <v>16</v>
      </c>
      <c r="E44">
        <v>26</v>
      </c>
      <c r="F44">
        <v>800</v>
      </c>
      <c r="G44">
        <f t="shared" si="0"/>
        <v>20800</v>
      </c>
    </row>
    <row r="45" spans="1:7" x14ac:dyDescent="0.3">
      <c r="A45" t="s">
        <v>68</v>
      </c>
      <c r="B45" t="s">
        <v>7</v>
      </c>
      <c r="C45" t="s">
        <v>13</v>
      </c>
      <c r="D45" t="s">
        <v>16</v>
      </c>
      <c r="E45">
        <v>6</v>
      </c>
      <c r="F45">
        <v>800</v>
      </c>
      <c r="G45">
        <f t="shared" si="0"/>
        <v>4800</v>
      </c>
    </row>
    <row r="46" spans="1:7" x14ac:dyDescent="0.3">
      <c r="A46" t="s">
        <v>69</v>
      </c>
      <c r="B46" t="s">
        <v>12</v>
      </c>
      <c r="C46" t="s">
        <v>15</v>
      </c>
      <c r="D46" t="s">
        <v>18</v>
      </c>
      <c r="E46">
        <v>27</v>
      </c>
      <c r="F46">
        <v>1500</v>
      </c>
      <c r="G46">
        <f t="shared" si="0"/>
        <v>40500</v>
      </c>
    </row>
    <row r="47" spans="1:7" x14ac:dyDescent="0.3">
      <c r="A47" t="s">
        <v>70</v>
      </c>
      <c r="B47" t="s">
        <v>12</v>
      </c>
      <c r="C47" t="s">
        <v>15</v>
      </c>
      <c r="D47" t="s">
        <v>30</v>
      </c>
      <c r="E47">
        <v>21</v>
      </c>
      <c r="F47">
        <v>5000</v>
      </c>
      <c r="G47">
        <f t="shared" si="0"/>
        <v>105000</v>
      </c>
    </row>
    <row r="48" spans="1:7" x14ac:dyDescent="0.3">
      <c r="A48" t="s">
        <v>71</v>
      </c>
      <c r="B48" t="s">
        <v>7</v>
      </c>
      <c r="C48" t="s">
        <v>13</v>
      </c>
      <c r="D48" t="s">
        <v>30</v>
      </c>
      <c r="E48">
        <v>14</v>
      </c>
      <c r="F48">
        <v>5000</v>
      </c>
      <c r="G48">
        <f t="shared" si="0"/>
        <v>70000</v>
      </c>
    </row>
    <row r="49" spans="1:7" x14ac:dyDescent="0.3">
      <c r="A49" t="s">
        <v>72</v>
      </c>
      <c r="B49" t="s">
        <v>11</v>
      </c>
      <c r="C49" t="s">
        <v>13</v>
      </c>
      <c r="D49" t="s">
        <v>40</v>
      </c>
      <c r="E49">
        <v>18</v>
      </c>
      <c r="F49">
        <v>3000</v>
      </c>
      <c r="G49">
        <f t="shared" si="0"/>
        <v>54000</v>
      </c>
    </row>
    <row r="50" spans="1:7" x14ac:dyDescent="0.3">
      <c r="A50" t="s">
        <v>73</v>
      </c>
      <c r="B50" t="s">
        <v>9</v>
      </c>
      <c r="C50" t="s">
        <v>17</v>
      </c>
      <c r="D50" t="s">
        <v>14</v>
      </c>
      <c r="E50">
        <v>1</v>
      </c>
      <c r="F50">
        <v>60000</v>
      </c>
      <c r="G50">
        <f t="shared" si="0"/>
        <v>60000</v>
      </c>
    </row>
    <row r="51" spans="1:7" x14ac:dyDescent="0.3">
      <c r="A51" t="s">
        <v>74</v>
      </c>
      <c r="B51" t="s">
        <v>12</v>
      </c>
      <c r="C51" t="s">
        <v>15</v>
      </c>
      <c r="D51" t="s">
        <v>21</v>
      </c>
      <c r="E51">
        <v>26</v>
      </c>
      <c r="F51">
        <v>15000</v>
      </c>
      <c r="G51">
        <f t="shared" si="0"/>
        <v>390000</v>
      </c>
    </row>
    <row r="52" spans="1:7" x14ac:dyDescent="0.3">
      <c r="A52" t="s">
        <v>75</v>
      </c>
      <c r="B52" t="s">
        <v>12</v>
      </c>
      <c r="C52" t="s">
        <v>15</v>
      </c>
      <c r="D52" t="s">
        <v>34</v>
      </c>
      <c r="E52">
        <v>5</v>
      </c>
      <c r="F52">
        <v>2500</v>
      </c>
      <c r="G52">
        <f t="shared" si="0"/>
        <v>12500</v>
      </c>
    </row>
    <row r="53" spans="1:7" x14ac:dyDescent="0.3">
      <c r="A53" t="s">
        <v>76</v>
      </c>
      <c r="B53" t="s">
        <v>9</v>
      </c>
      <c r="C53" t="s">
        <v>17</v>
      </c>
      <c r="D53" t="s">
        <v>30</v>
      </c>
      <c r="E53">
        <v>7</v>
      </c>
      <c r="F53">
        <v>5000</v>
      </c>
      <c r="G53">
        <f t="shared" si="0"/>
        <v>35000</v>
      </c>
    </row>
    <row r="54" spans="1:7" x14ac:dyDescent="0.3">
      <c r="A54" t="s">
        <v>77</v>
      </c>
      <c r="B54" t="s">
        <v>10</v>
      </c>
      <c r="C54" t="s">
        <v>19</v>
      </c>
      <c r="D54" t="s">
        <v>14</v>
      </c>
      <c r="E54">
        <v>3</v>
      </c>
      <c r="F54">
        <v>60000</v>
      </c>
      <c r="G54">
        <f t="shared" si="0"/>
        <v>180000</v>
      </c>
    </row>
    <row r="55" spans="1:7" x14ac:dyDescent="0.3">
      <c r="A55" t="s">
        <v>78</v>
      </c>
      <c r="B55" t="s">
        <v>11</v>
      </c>
      <c r="C55" t="s">
        <v>13</v>
      </c>
      <c r="D55" t="s">
        <v>18</v>
      </c>
      <c r="E55">
        <v>18</v>
      </c>
      <c r="F55">
        <v>1500</v>
      </c>
      <c r="G55">
        <f t="shared" si="0"/>
        <v>27000</v>
      </c>
    </row>
    <row r="56" spans="1:7" x14ac:dyDescent="0.3">
      <c r="A56" t="s">
        <v>79</v>
      </c>
      <c r="B56" t="s">
        <v>7</v>
      </c>
      <c r="C56" t="s">
        <v>13</v>
      </c>
      <c r="D56" t="s">
        <v>21</v>
      </c>
      <c r="E56">
        <v>28</v>
      </c>
      <c r="F56">
        <v>15000</v>
      </c>
      <c r="G56">
        <f t="shared" si="0"/>
        <v>420000</v>
      </c>
    </row>
    <row r="57" spans="1:7" x14ac:dyDescent="0.3">
      <c r="A57" t="s">
        <v>80</v>
      </c>
      <c r="B57" t="s">
        <v>12</v>
      </c>
      <c r="C57" t="s">
        <v>15</v>
      </c>
      <c r="D57" t="s">
        <v>20</v>
      </c>
      <c r="E57">
        <v>6</v>
      </c>
      <c r="F57">
        <v>12000</v>
      </c>
      <c r="G57">
        <f t="shared" si="0"/>
        <v>72000</v>
      </c>
    </row>
    <row r="58" spans="1:7" x14ac:dyDescent="0.3">
      <c r="A58" t="s">
        <v>81</v>
      </c>
      <c r="B58" t="s">
        <v>9</v>
      </c>
      <c r="C58" t="s">
        <v>17</v>
      </c>
      <c r="D58" t="s">
        <v>18</v>
      </c>
      <c r="E58">
        <v>19</v>
      </c>
      <c r="F58">
        <v>1500</v>
      </c>
      <c r="G58">
        <f t="shared" si="0"/>
        <v>28500</v>
      </c>
    </row>
    <row r="59" spans="1:7" x14ac:dyDescent="0.3">
      <c r="A59" t="s">
        <v>82</v>
      </c>
      <c r="B59" t="s">
        <v>11</v>
      </c>
      <c r="C59" t="s">
        <v>13</v>
      </c>
      <c r="D59" t="s">
        <v>14</v>
      </c>
      <c r="E59">
        <v>5</v>
      </c>
      <c r="F59">
        <v>60000</v>
      </c>
      <c r="G59">
        <f t="shared" si="0"/>
        <v>300000</v>
      </c>
    </row>
    <row r="60" spans="1:7" x14ac:dyDescent="0.3">
      <c r="A60" t="s">
        <v>83</v>
      </c>
      <c r="B60" t="s">
        <v>9</v>
      </c>
      <c r="C60" t="s">
        <v>17</v>
      </c>
      <c r="D60" t="s">
        <v>40</v>
      </c>
      <c r="E60">
        <v>2</v>
      </c>
      <c r="F60">
        <v>3000</v>
      </c>
      <c r="G60">
        <f t="shared" si="0"/>
        <v>6000</v>
      </c>
    </row>
    <row r="61" spans="1:7" x14ac:dyDescent="0.3">
      <c r="A61" t="s">
        <v>84</v>
      </c>
      <c r="B61" t="s">
        <v>7</v>
      </c>
      <c r="C61" t="s">
        <v>13</v>
      </c>
      <c r="D61" t="s">
        <v>34</v>
      </c>
      <c r="E61">
        <v>30</v>
      </c>
      <c r="F61">
        <v>2500</v>
      </c>
      <c r="G61">
        <f t="shared" si="0"/>
        <v>75000</v>
      </c>
    </row>
    <row r="62" spans="1:7" x14ac:dyDescent="0.3">
      <c r="A62" t="s">
        <v>85</v>
      </c>
      <c r="B62" t="s">
        <v>9</v>
      </c>
      <c r="C62" t="s">
        <v>17</v>
      </c>
      <c r="D62" t="s">
        <v>20</v>
      </c>
      <c r="E62">
        <v>3</v>
      </c>
      <c r="F62">
        <v>12000</v>
      </c>
      <c r="G62">
        <f t="shared" si="0"/>
        <v>36000</v>
      </c>
    </row>
    <row r="63" spans="1:7" x14ac:dyDescent="0.3">
      <c r="A63" t="s">
        <v>86</v>
      </c>
      <c r="B63" t="s">
        <v>8</v>
      </c>
      <c r="C63" t="s">
        <v>15</v>
      </c>
      <c r="D63" t="s">
        <v>16</v>
      </c>
      <c r="E63">
        <v>4</v>
      </c>
      <c r="F63">
        <v>800</v>
      </c>
      <c r="G63">
        <f t="shared" si="0"/>
        <v>3200</v>
      </c>
    </row>
    <row r="64" spans="1:7" x14ac:dyDescent="0.3">
      <c r="A64" t="s">
        <v>87</v>
      </c>
      <c r="B64" t="s">
        <v>12</v>
      </c>
      <c r="C64" t="s">
        <v>15</v>
      </c>
      <c r="D64" t="s">
        <v>40</v>
      </c>
      <c r="E64">
        <v>28</v>
      </c>
      <c r="F64">
        <v>3000</v>
      </c>
      <c r="G64">
        <f t="shared" si="0"/>
        <v>84000</v>
      </c>
    </row>
    <row r="65" spans="1:7" x14ac:dyDescent="0.3">
      <c r="A65" t="s">
        <v>88</v>
      </c>
      <c r="B65" t="s">
        <v>7</v>
      </c>
      <c r="C65" t="s">
        <v>13</v>
      </c>
      <c r="D65" t="s">
        <v>18</v>
      </c>
      <c r="E65">
        <v>6</v>
      </c>
      <c r="F65">
        <v>1500</v>
      </c>
      <c r="G65">
        <f t="shared" si="0"/>
        <v>9000</v>
      </c>
    </row>
    <row r="66" spans="1:7" x14ac:dyDescent="0.3">
      <c r="A66" t="s">
        <v>89</v>
      </c>
      <c r="B66" t="s">
        <v>12</v>
      </c>
      <c r="C66" t="s">
        <v>15</v>
      </c>
      <c r="D66" t="s">
        <v>40</v>
      </c>
      <c r="E66">
        <v>19</v>
      </c>
      <c r="F66">
        <v>3000</v>
      </c>
      <c r="G66">
        <f t="shared" si="0"/>
        <v>57000</v>
      </c>
    </row>
    <row r="67" spans="1:7" x14ac:dyDescent="0.3">
      <c r="A67" t="s">
        <v>90</v>
      </c>
      <c r="B67" t="s">
        <v>8</v>
      </c>
      <c r="C67" t="s">
        <v>15</v>
      </c>
      <c r="D67" t="s">
        <v>21</v>
      </c>
      <c r="E67">
        <v>18</v>
      </c>
      <c r="F67">
        <v>15000</v>
      </c>
      <c r="G67">
        <f t="shared" ref="G67:G101" si="1">E67*F67</f>
        <v>270000</v>
      </c>
    </row>
    <row r="68" spans="1:7" x14ac:dyDescent="0.3">
      <c r="A68" t="s">
        <v>91</v>
      </c>
      <c r="B68" t="s">
        <v>11</v>
      </c>
      <c r="C68" t="s">
        <v>13</v>
      </c>
      <c r="D68" t="s">
        <v>30</v>
      </c>
      <c r="E68">
        <v>8</v>
      </c>
      <c r="F68">
        <v>5000</v>
      </c>
      <c r="G68">
        <f t="shared" si="1"/>
        <v>40000</v>
      </c>
    </row>
    <row r="69" spans="1:7" x14ac:dyDescent="0.3">
      <c r="A69" t="s">
        <v>92</v>
      </c>
      <c r="B69" t="s">
        <v>11</v>
      </c>
      <c r="C69" t="s">
        <v>13</v>
      </c>
      <c r="D69" t="s">
        <v>20</v>
      </c>
      <c r="E69">
        <v>24</v>
      </c>
      <c r="F69">
        <v>12000</v>
      </c>
      <c r="G69">
        <f t="shared" si="1"/>
        <v>288000</v>
      </c>
    </row>
    <row r="70" spans="1:7" x14ac:dyDescent="0.3">
      <c r="A70" t="s">
        <v>93</v>
      </c>
      <c r="B70" t="s">
        <v>9</v>
      </c>
      <c r="C70" t="s">
        <v>17</v>
      </c>
      <c r="D70" t="s">
        <v>30</v>
      </c>
      <c r="E70">
        <v>23</v>
      </c>
      <c r="F70">
        <v>5000</v>
      </c>
      <c r="G70">
        <f t="shared" si="1"/>
        <v>115000</v>
      </c>
    </row>
    <row r="71" spans="1:7" x14ac:dyDescent="0.3">
      <c r="A71" t="s">
        <v>94</v>
      </c>
      <c r="B71" t="s">
        <v>12</v>
      </c>
      <c r="C71" t="s">
        <v>15</v>
      </c>
      <c r="D71" t="s">
        <v>34</v>
      </c>
      <c r="E71">
        <v>16</v>
      </c>
      <c r="F71">
        <v>2500</v>
      </c>
      <c r="G71">
        <f t="shared" si="1"/>
        <v>40000</v>
      </c>
    </row>
    <row r="72" spans="1:7" x14ac:dyDescent="0.3">
      <c r="A72" t="s">
        <v>95</v>
      </c>
      <c r="B72" t="s">
        <v>11</v>
      </c>
      <c r="C72" t="s">
        <v>13</v>
      </c>
      <c r="D72" t="s">
        <v>40</v>
      </c>
      <c r="E72">
        <v>5</v>
      </c>
      <c r="F72">
        <v>3000</v>
      </c>
      <c r="G72">
        <f t="shared" si="1"/>
        <v>15000</v>
      </c>
    </row>
    <row r="73" spans="1:7" x14ac:dyDescent="0.3">
      <c r="A73" t="s">
        <v>96</v>
      </c>
      <c r="B73" t="s">
        <v>8</v>
      </c>
      <c r="C73" t="s">
        <v>15</v>
      </c>
      <c r="D73" t="s">
        <v>20</v>
      </c>
      <c r="E73">
        <v>4</v>
      </c>
      <c r="F73">
        <v>12000</v>
      </c>
      <c r="G73">
        <f t="shared" si="1"/>
        <v>48000</v>
      </c>
    </row>
    <row r="74" spans="1:7" x14ac:dyDescent="0.3">
      <c r="A74" t="s">
        <v>97</v>
      </c>
      <c r="B74" t="s">
        <v>9</v>
      </c>
      <c r="C74" t="s">
        <v>17</v>
      </c>
      <c r="D74" t="s">
        <v>14</v>
      </c>
      <c r="E74">
        <v>5</v>
      </c>
      <c r="F74">
        <v>60000</v>
      </c>
      <c r="G74">
        <f t="shared" si="1"/>
        <v>300000</v>
      </c>
    </row>
    <row r="75" spans="1:7" x14ac:dyDescent="0.3">
      <c r="A75" t="s">
        <v>98</v>
      </c>
      <c r="B75" t="s">
        <v>11</v>
      </c>
      <c r="C75" t="s">
        <v>13</v>
      </c>
      <c r="D75" t="s">
        <v>20</v>
      </c>
      <c r="E75">
        <v>20</v>
      </c>
      <c r="F75">
        <v>12000</v>
      </c>
      <c r="G75">
        <f t="shared" si="1"/>
        <v>240000</v>
      </c>
    </row>
    <row r="76" spans="1:7" x14ac:dyDescent="0.3">
      <c r="A76" t="s">
        <v>99</v>
      </c>
      <c r="B76" t="s">
        <v>8</v>
      </c>
      <c r="C76" t="s">
        <v>15</v>
      </c>
      <c r="D76" t="s">
        <v>14</v>
      </c>
      <c r="E76">
        <v>1</v>
      </c>
      <c r="F76">
        <v>60000</v>
      </c>
      <c r="G76">
        <f t="shared" si="1"/>
        <v>60000</v>
      </c>
    </row>
    <row r="77" spans="1:7" x14ac:dyDescent="0.3">
      <c r="A77" t="s">
        <v>100</v>
      </c>
      <c r="B77" t="s">
        <v>12</v>
      </c>
      <c r="C77" t="s">
        <v>15</v>
      </c>
      <c r="D77" t="s">
        <v>14</v>
      </c>
      <c r="E77">
        <v>2</v>
      </c>
      <c r="F77">
        <v>60000</v>
      </c>
      <c r="G77">
        <f t="shared" si="1"/>
        <v>120000</v>
      </c>
    </row>
    <row r="78" spans="1:7" x14ac:dyDescent="0.3">
      <c r="A78" t="s">
        <v>101</v>
      </c>
      <c r="B78" t="s">
        <v>7</v>
      </c>
      <c r="C78" t="s">
        <v>13</v>
      </c>
      <c r="D78" t="s">
        <v>14</v>
      </c>
      <c r="E78">
        <v>3</v>
      </c>
      <c r="F78">
        <v>60000</v>
      </c>
      <c r="G78">
        <f t="shared" si="1"/>
        <v>180000</v>
      </c>
    </row>
    <row r="79" spans="1:7" x14ac:dyDescent="0.3">
      <c r="A79" t="s">
        <v>102</v>
      </c>
      <c r="B79" t="s">
        <v>7</v>
      </c>
      <c r="C79" t="s">
        <v>13</v>
      </c>
      <c r="D79" t="s">
        <v>20</v>
      </c>
      <c r="E79">
        <v>10</v>
      </c>
      <c r="F79">
        <v>12000</v>
      </c>
      <c r="G79">
        <f t="shared" si="1"/>
        <v>120000</v>
      </c>
    </row>
    <row r="80" spans="1:7" x14ac:dyDescent="0.3">
      <c r="A80" t="s">
        <v>103</v>
      </c>
      <c r="B80" t="s">
        <v>12</v>
      </c>
      <c r="C80" t="s">
        <v>15</v>
      </c>
      <c r="D80" t="s">
        <v>40</v>
      </c>
      <c r="E80">
        <v>8</v>
      </c>
      <c r="F80">
        <v>3000</v>
      </c>
      <c r="G80">
        <f t="shared" si="1"/>
        <v>24000</v>
      </c>
    </row>
    <row r="81" spans="1:7" x14ac:dyDescent="0.3">
      <c r="A81" t="s">
        <v>104</v>
      </c>
      <c r="B81" t="s">
        <v>11</v>
      </c>
      <c r="C81" t="s">
        <v>13</v>
      </c>
      <c r="D81" t="s">
        <v>18</v>
      </c>
      <c r="E81">
        <v>25</v>
      </c>
      <c r="F81">
        <v>1500</v>
      </c>
      <c r="G81">
        <f t="shared" si="1"/>
        <v>37500</v>
      </c>
    </row>
    <row r="82" spans="1:7" x14ac:dyDescent="0.3">
      <c r="A82" t="s">
        <v>105</v>
      </c>
      <c r="B82" t="s">
        <v>11</v>
      </c>
      <c r="C82" t="s">
        <v>13</v>
      </c>
      <c r="D82" t="s">
        <v>40</v>
      </c>
      <c r="E82">
        <v>9</v>
      </c>
      <c r="F82">
        <v>3000</v>
      </c>
      <c r="G82">
        <f t="shared" si="1"/>
        <v>27000</v>
      </c>
    </row>
    <row r="83" spans="1:7" x14ac:dyDescent="0.3">
      <c r="A83" t="s">
        <v>106</v>
      </c>
      <c r="B83" t="s">
        <v>10</v>
      </c>
      <c r="C83" t="s">
        <v>19</v>
      </c>
      <c r="D83" t="s">
        <v>30</v>
      </c>
      <c r="E83">
        <v>8</v>
      </c>
      <c r="F83">
        <v>5000</v>
      </c>
      <c r="G83">
        <f t="shared" si="1"/>
        <v>40000</v>
      </c>
    </row>
    <row r="84" spans="1:7" x14ac:dyDescent="0.3">
      <c r="A84" t="s">
        <v>107</v>
      </c>
      <c r="B84" t="s">
        <v>7</v>
      </c>
      <c r="C84" t="s">
        <v>13</v>
      </c>
      <c r="D84" t="s">
        <v>16</v>
      </c>
      <c r="E84">
        <v>23</v>
      </c>
      <c r="F84">
        <v>800</v>
      </c>
      <c r="G84">
        <f t="shared" si="1"/>
        <v>18400</v>
      </c>
    </row>
    <row r="85" spans="1:7" x14ac:dyDescent="0.3">
      <c r="A85" t="s">
        <v>108</v>
      </c>
      <c r="B85" t="s">
        <v>10</v>
      </c>
      <c r="C85" t="s">
        <v>19</v>
      </c>
      <c r="D85" t="s">
        <v>34</v>
      </c>
      <c r="E85">
        <v>15</v>
      </c>
      <c r="F85">
        <v>2500</v>
      </c>
      <c r="G85">
        <f t="shared" si="1"/>
        <v>37500</v>
      </c>
    </row>
    <row r="86" spans="1:7" x14ac:dyDescent="0.3">
      <c r="A86" t="s">
        <v>109</v>
      </c>
      <c r="B86" t="s">
        <v>10</v>
      </c>
      <c r="C86" t="s">
        <v>19</v>
      </c>
      <c r="D86" t="s">
        <v>40</v>
      </c>
      <c r="E86">
        <v>29</v>
      </c>
      <c r="F86">
        <v>3000</v>
      </c>
      <c r="G86">
        <f t="shared" si="1"/>
        <v>87000</v>
      </c>
    </row>
    <row r="87" spans="1:7" x14ac:dyDescent="0.3">
      <c r="A87" t="s">
        <v>110</v>
      </c>
      <c r="B87" t="s">
        <v>12</v>
      </c>
      <c r="C87" t="s">
        <v>15</v>
      </c>
      <c r="D87" t="s">
        <v>14</v>
      </c>
      <c r="E87">
        <v>1</v>
      </c>
      <c r="F87">
        <v>60000</v>
      </c>
      <c r="G87">
        <f t="shared" si="1"/>
        <v>60000</v>
      </c>
    </row>
    <row r="88" spans="1:7" x14ac:dyDescent="0.3">
      <c r="A88" t="s">
        <v>111</v>
      </c>
      <c r="B88" t="s">
        <v>7</v>
      </c>
      <c r="C88" t="s">
        <v>13</v>
      </c>
      <c r="D88" t="s">
        <v>30</v>
      </c>
      <c r="E88">
        <v>25</v>
      </c>
      <c r="F88">
        <v>5000</v>
      </c>
      <c r="G88">
        <f t="shared" si="1"/>
        <v>125000</v>
      </c>
    </row>
    <row r="89" spans="1:7" x14ac:dyDescent="0.3">
      <c r="A89" t="s">
        <v>112</v>
      </c>
      <c r="B89" t="s">
        <v>9</v>
      </c>
      <c r="C89" t="s">
        <v>17</v>
      </c>
      <c r="D89" t="s">
        <v>16</v>
      </c>
      <c r="E89">
        <v>9</v>
      </c>
      <c r="F89">
        <v>800</v>
      </c>
      <c r="G89">
        <f t="shared" si="1"/>
        <v>7200</v>
      </c>
    </row>
    <row r="90" spans="1:7" x14ac:dyDescent="0.3">
      <c r="A90" t="s">
        <v>113</v>
      </c>
      <c r="B90" t="s">
        <v>8</v>
      </c>
      <c r="C90" t="s">
        <v>15</v>
      </c>
      <c r="D90" t="s">
        <v>20</v>
      </c>
      <c r="E90">
        <v>19</v>
      </c>
      <c r="F90">
        <v>12000</v>
      </c>
      <c r="G90">
        <f t="shared" si="1"/>
        <v>228000</v>
      </c>
    </row>
    <row r="91" spans="1:7" x14ac:dyDescent="0.3">
      <c r="A91" t="s">
        <v>114</v>
      </c>
      <c r="B91" t="s">
        <v>10</v>
      </c>
      <c r="C91" t="s">
        <v>19</v>
      </c>
      <c r="D91" t="s">
        <v>18</v>
      </c>
      <c r="E91">
        <v>15</v>
      </c>
      <c r="F91">
        <v>1500</v>
      </c>
      <c r="G91">
        <f t="shared" si="1"/>
        <v>22500</v>
      </c>
    </row>
    <row r="92" spans="1:7" x14ac:dyDescent="0.3">
      <c r="A92" t="s">
        <v>22</v>
      </c>
      <c r="B92" t="s">
        <v>8</v>
      </c>
      <c r="C92" t="s">
        <v>15</v>
      </c>
      <c r="D92" t="s">
        <v>21</v>
      </c>
      <c r="E92">
        <v>16</v>
      </c>
      <c r="F92">
        <v>15000</v>
      </c>
      <c r="G92">
        <f t="shared" si="1"/>
        <v>240000</v>
      </c>
    </row>
    <row r="93" spans="1:7" x14ac:dyDescent="0.3">
      <c r="A93" t="s">
        <v>23</v>
      </c>
      <c r="B93" t="s">
        <v>8</v>
      </c>
      <c r="C93" t="s">
        <v>15</v>
      </c>
      <c r="D93" t="s">
        <v>16</v>
      </c>
      <c r="E93">
        <v>16</v>
      </c>
      <c r="F93">
        <v>800</v>
      </c>
      <c r="G93">
        <f t="shared" si="1"/>
        <v>12800</v>
      </c>
    </row>
    <row r="94" spans="1:7" x14ac:dyDescent="0.3">
      <c r="A94" t="s">
        <v>24</v>
      </c>
      <c r="B94" t="s">
        <v>11</v>
      </c>
      <c r="C94" t="s">
        <v>13</v>
      </c>
      <c r="D94" t="s">
        <v>16</v>
      </c>
      <c r="E94">
        <v>3</v>
      </c>
      <c r="F94">
        <v>800</v>
      </c>
      <c r="G94">
        <f t="shared" si="1"/>
        <v>2400</v>
      </c>
    </row>
    <row r="95" spans="1:7" x14ac:dyDescent="0.3">
      <c r="A95" t="s">
        <v>25</v>
      </c>
      <c r="B95" t="s">
        <v>12</v>
      </c>
      <c r="C95" t="s">
        <v>15</v>
      </c>
      <c r="D95" t="s">
        <v>14</v>
      </c>
      <c r="E95">
        <v>1</v>
      </c>
      <c r="F95">
        <v>60000</v>
      </c>
      <c r="G95">
        <f t="shared" si="1"/>
        <v>60000</v>
      </c>
    </row>
    <row r="96" spans="1:7" x14ac:dyDescent="0.3">
      <c r="A96" t="s">
        <v>26</v>
      </c>
      <c r="B96" t="s">
        <v>8</v>
      </c>
      <c r="C96" t="s">
        <v>15</v>
      </c>
      <c r="D96" t="s">
        <v>18</v>
      </c>
      <c r="E96">
        <v>15</v>
      </c>
      <c r="F96">
        <v>1500</v>
      </c>
      <c r="G96">
        <f t="shared" si="1"/>
        <v>22500</v>
      </c>
    </row>
    <row r="97" spans="1:7" x14ac:dyDescent="0.3">
      <c r="A97" t="s">
        <v>27</v>
      </c>
      <c r="B97" t="s">
        <v>10</v>
      </c>
      <c r="C97" t="s">
        <v>19</v>
      </c>
      <c r="D97" t="s">
        <v>40</v>
      </c>
      <c r="E97">
        <v>8</v>
      </c>
      <c r="F97">
        <v>3000</v>
      </c>
      <c r="G97">
        <f t="shared" si="1"/>
        <v>24000</v>
      </c>
    </row>
    <row r="98" spans="1:7" x14ac:dyDescent="0.3">
      <c r="A98" t="s">
        <v>28</v>
      </c>
      <c r="B98" t="s">
        <v>10</v>
      </c>
      <c r="C98" t="s">
        <v>19</v>
      </c>
      <c r="D98" t="s">
        <v>14</v>
      </c>
      <c r="E98">
        <v>2</v>
      </c>
      <c r="F98">
        <v>60000</v>
      </c>
      <c r="G98">
        <f t="shared" si="1"/>
        <v>120000</v>
      </c>
    </row>
    <row r="99" spans="1:7" x14ac:dyDescent="0.3">
      <c r="A99" t="s">
        <v>29</v>
      </c>
      <c r="B99" t="s">
        <v>10</v>
      </c>
      <c r="C99" t="s">
        <v>19</v>
      </c>
      <c r="D99" t="s">
        <v>14</v>
      </c>
      <c r="E99">
        <v>4</v>
      </c>
      <c r="F99">
        <v>60000</v>
      </c>
      <c r="G99">
        <f t="shared" si="1"/>
        <v>240000</v>
      </c>
    </row>
    <row r="100" spans="1:7" x14ac:dyDescent="0.3">
      <c r="A100" t="s">
        <v>31</v>
      </c>
      <c r="B100" t="s">
        <v>9</v>
      </c>
      <c r="C100" t="s">
        <v>17</v>
      </c>
      <c r="D100" t="s">
        <v>40</v>
      </c>
      <c r="E100">
        <v>11</v>
      </c>
      <c r="F100">
        <v>3000</v>
      </c>
      <c r="G100">
        <f t="shared" si="1"/>
        <v>33000</v>
      </c>
    </row>
    <row r="101" spans="1:7" x14ac:dyDescent="0.3">
      <c r="A101" t="s">
        <v>32</v>
      </c>
      <c r="B101" t="s">
        <v>10</v>
      </c>
      <c r="C101" t="s">
        <v>19</v>
      </c>
      <c r="D101" t="s">
        <v>40</v>
      </c>
      <c r="E101">
        <v>6</v>
      </c>
      <c r="F101">
        <v>3000</v>
      </c>
      <c r="G101">
        <f t="shared" si="1"/>
        <v>18000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E7B5-195F-43D9-BE41-12DE322073F6}">
  <dimension ref="A1:B30"/>
  <sheetViews>
    <sheetView workbookViewId="0">
      <selection activeCell="B25" sqref="B25"/>
    </sheetView>
  </sheetViews>
  <sheetFormatPr defaultRowHeight="14.4" x14ac:dyDescent="0.3"/>
  <cols>
    <col min="1" max="1" width="12.5546875" bestFit="1" customWidth="1"/>
    <col min="2" max="2" width="19.21875" bestFit="1" customWidth="1"/>
  </cols>
  <sheetData>
    <row r="1" spans="1:2" x14ac:dyDescent="0.3">
      <c r="A1" s="1" t="s">
        <v>115</v>
      </c>
      <c r="B1" t="s">
        <v>117</v>
      </c>
    </row>
    <row r="2" spans="1:2" x14ac:dyDescent="0.3">
      <c r="A2" s="2" t="s">
        <v>17</v>
      </c>
      <c r="B2" s="3">
        <v>1570300</v>
      </c>
    </row>
    <row r="3" spans="1:2" x14ac:dyDescent="0.3">
      <c r="A3" s="2" t="s">
        <v>13</v>
      </c>
      <c r="B3" s="3">
        <v>3280100</v>
      </c>
    </row>
    <row r="4" spans="1:2" x14ac:dyDescent="0.3">
      <c r="A4" s="2" t="s">
        <v>15</v>
      </c>
      <c r="B4" s="3">
        <v>3706700</v>
      </c>
    </row>
    <row r="5" spans="1:2" x14ac:dyDescent="0.3">
      <c r="A5" s="2" t="s">
        <v>19</v>
      </c>
      <c r="B5" s="3">
        <v>1340200</v>
      </c>
    </row>
    <row r="6" spans="1:2" x14ac:dyDescent="0.3">
      <c r="A6" s="2" t="s">
        <v>116</v>
      </c>
      <c r="B6" s="3">
        <v>9897300</v>
      </c>
    </row>
    <row r="10" spans="1:2" x14ac:dyDescent="0.3">
      <c r="A10" s="1" t="s">
        <v>115</v>
      </c>
      <c r="B10" t="s">
        <v>117</v>
      </c>
    </row>
    <row r="11" spans="1:2" x14ac:dyDescent="0.3">
      <c r="A11" s="2" t="s">
        <v>11</v>
      </c>
      <c r="B11" s="3">
        <v>1985900</v>
      </c>
    </row>
    <row r="12" spans="1:2" x14ac:dyDescent="0.3">
      <c r="A12" s="2" t="s">
        <v>10</v>
      </c>
      <c r="B12" s="3">
        <v>1340200</v>
      </c>
    </row>
    <row r="13" spans="1:2" x14ac:dyDescent="0.3">
      <c r="A13" s="2" t="s">
        <v>9</v>
      </c>
      <c r="B13" s="3">
        <v>1570300</v>
      </c>
    </row>
    <row r="14" spans="1:2" x14ac:dyDescent="0.3">
      <c r="A14" s="2" t="s">
        <v>12</v>
      </c>
      <c r="B14" s="3">
        <v>2387100</v>
      </c>
    </row>
    <row r="15" spans="1:2" x14ac:dyDescent="0.3">
      <c r="A15" s="2" t="s">
        <v>8</v>
      </c>
      <c r="B15" s="3">
        <v>1319600</v>
      </c>
    </row>
    <row r="16" spans="1:2" x14ac:dyDescent="0.3">
      <c r="A16" s="2" t="s">
        <v>7</v>
      </c>
      <c r="B16" s="3">
        <v>1294200</v>
      </c>
    </row>
    <row r="17" spans="1:2" x14ac:dyDescent="0.3">
      <c r="A17" s="2" t="s">
        <v>116</v>
      </c>
      <c r="B17" s="3">
        <v>9897300</v>
      </c>
    </row>
    <row r="21" spans="1:2" x14ac:dyDescent="0.3">
      <c r="A21" s="1" t="s">
        <v>115</v>
      </c>
      <c r="B21" t="s">
        <v>117</v>
      </c>
    </row>
    <row r="22" spans="1:2" x14ac:dyDescent="0.3">
      <c r="A22" s="2" t="s">
        <v>40</v>
      </c>
      <c r="B22" s="3">
        <v>612000</v>
      </c>
    </row>
    <row r="23" spans="1:2" x14ac:dyDescent="0.3">
      <c r="A23" s="2" t="s">
        <v>18</v>
      </c>
      <c r="B23" s="3">
        <v>349500</v>
      </c>
    </row>
    <row r="24" spans="1:2" x14ac:dyDescent="0.3">
      <c r="A24" s="2" t="s">
        <v>14</v>
      </c>
      <c r="B24" s="3">
        <v>2160000</v>
      </c>
    </row>
    <row r="25" spans="1:2" x14ac:dyDescent="0.3">
      <c r="A25" s="2" t="s">
        <v>20</v>
      </c>
      <c r="B25" s="3">
        <v>2400000</v>
      </c>
    </row>
    <row r="26" spans="1:2" x14ac:dyDescent="0.3">
      <c r="A26" s="2" t="s">
        <v>16</v>
      </c>
      <c r="B26" s="3">
        <v>160800</v>
      </c>
    </row>
    <row r="27" spans="1:2" x14ac:dyDescent="0.3">
      <c r="A27" s="2" t="s">
        <v>21</v>
      </c>
      <c r="B27" s="3">
        <v>3060000</v>
      </c>
    </row>
    <row r="28" spans="1:2" x14ac:dyDescent="0.3">
      <c r="A28" s="2" t="s">
        <v>30</v>
      </c>
      <c r="B28" s="3">
        <v>860000</v>
      </c>
    </row>
    <row r="29" spans="1:2" x14ac:dyDescent="0.3">
      <c r="A29" s="2" t="s">
        <v>34</v>
      </c>
      <c r="B29" s="3">
        <v>295000</v>
      </c>
    </row>
    <row r="30" spans="1:2" x14ac:dyDescent="0.3">
      <c r="A30" s="2" t="s">
        <v>116</v>
      </c>
      <c r="B30" s="3">
        <v>9897300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3B3E-B426-4159-AF97-44A5EAEE18FC}">
  <dimension ref="B2:L6"/>
  <sheetViews>
    <sheetView showGridLines="0" tabSelected="1" workbookViewId="0">
      <selection activeCell="E12" sqref="E12"/>
    </sheetView>
  </sheetViews>
  <sheetFormatPr defaultRowHeight="14.4" x14ac:dyDescent="0.3"/>
  <cols>
    <col min="2" max="2" width="14.44140625" customWidth="1"/>
    <col min="3" max="3" width="12.6640625" customWidth="1"/>
    <col min="4" max="4" width="3.21875" customWidth="1"/>
    <col min="5" max="5" width="23.6640625" customWidth="1"/>
    <col min="6" max="6" width="16.44140625" customWidth="1"/>
    <col min="7" max="7" width="8.88671875" customWidth="1"/>
    <col min="8" max="8" width="22" customWidth="1"/>
    <col min="9" max="9" width="10.77734375" customWidth="1"/>
    <col min="10" max="10" width="7.6640625" customWidth="1"/>
    <col min="11" max="11" width="19.77734375" customWidth="1"/>
    <col min="12" max="12" width="12.109375" customWidth="1"/>
  </cols>
  <sheetData>
    <row r="2" spans="2:12" ht="31.2" x14ac:dyDescent="0.6">
      <c r="F2" s="8" t="s">
        <v>122</v>
      </c>
      <c r="G2" s="9"/>
      <c r="H2" s="9"/>
      <c r="I2" s="9"/>
      <c r="J2" s="9"/>
    </row>
    <row r="5" spans="2:12" ht="18" x14ac:dyDescent="0.35">
      <c r="B5" s="4" t="s">
        <v>118</v>
      </c>
      <c r="C5" s="5"/>
      <c r="E5" s="4" t="s">
        <v>119</v>
      </c>
      <c r="F5" s="5"/>
      <c r="H5" s="4" t="s">
        <v>120</v>
      </c>
      <c r="I5" s="5"/>
      <c r="K5" s="4" t="s">
        <v>121</v>
      </c>
      <c r="L5" s="5"/>
    </row>
    <row r="6" spans="2:12" ht="21" x14ac:dyDescent="0.4">
      <c r="B6" s="10">
        <f>SUM(SalesData[Sales Amount])</f>
        <v>9897300</v>
      </c>
      <c r="C6" s="11"/>
      <c r="E6" s="6">
        <f>COUNTA(SalesData[Date])</f>
        <v>100</v>
      </c>
      <c r="F6" s="7"/>
      <c r="H6" s="6" t="s">
        <v>12</v>
      </c>
      <c r="I6" s="7"/>
      <c r="K6" s="6" t="s">
        <v>15</v>
      </c>
      <c r="L6" s="7"/>
    </row>
  </sheetData>
  <mergeCells count="9">
    <mergeCell ref="K5:L5"/>
    <mergeCell ref="K6:L6"/>
    <mergeCell ref="F2:J2"/>
    <mergeCell ref="B5:C5"/>
    <mergeCell ref="B6:C6"/>
    <mergeCell ref="E5:F5"/>
    <mergeCell ref="E6:F6"/>
    <mergeCell ref="H5:I5"/>
    <mergeCell ref="H6: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micslrn@gmail.com</dc:creator>
  <cp:lastModifiedBy>micslrn@gmail.com</cp:lastModifiedBy>
  <dcterms:created xsi:type="dcterms:W3CDTF">2026-07-28T05:50:16Z</dcterms:created>
  <dcterms:modified xsi:type="dcterms:W3CDTF">2026-07-30T15:32:28Z</dcterms:modified>
</cp:coreProperties>
</file>